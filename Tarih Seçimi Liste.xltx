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A80FB4E9-23FB-45D3-A192-9C9C75CE836F}" xr6:coauthVersionLast="41" xr6:coauthVersionMax="41" xr10:uidLastSave="{00000000-0000-0000-0000-000000000000}"/>
  <bookViews>
    <workbookView xWindow="-98" yWindow="-98" windowWidth="19396" windowHeight="11596" activeTab="1" xr2:uid="{9B51ECA2-70F2-4BCF-ABD1-BA13A5D2BD12}"/>
  </bookViews>
  <sheets>
    <sheet name="Sayfa1" sheetId="1" r:id="rId1"/>
    <sheet name="Sayfa2" sheetId="2" r:id="rId2"/>
    <sheet name="Aylar" sheetId="4" r:id="rId3"/>
    <sheet name="Liste" sheetId="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9" i="5" l="1"/>
  <c r="F9" i="5"/>
  <c r="AL8" i="5"/>
  <c r="F8" i="5"/>
  <c r="AL7" i="5"/>
  <c r="F7" i="5"/>
  <c r="AL6" i="5"/>
  <c r="F6" i="5"/>
  <c r="G2" i="2" l="1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C5" i="1"/>
  <c r="C6" i="1"/>
  <c r="C7" i="1"/>
  <c r="C8" i="1"/>
  <c r="C9" i="1"/>
  <c r="C10" i="1"/>
  <c r="C11" i="1"/>
  <c r="C12" i="1"/>
  <c r="C13" i="1"/>
  <c r="C14" i="1"/>
  <c r="C15" i="1"/>
  <c r="C4" i="1"/>
  <c r="B6" i="1"/>
  <c r="B7" i="1" s="1"/>
  <c r="B8" i="1" s="1"/>
  <c r="B9" i="1" s="1"/>
  <c r="B10" i="1" s="1"/>
  <c r="B11" i="1" s="1"/>
  <c r="B12" i="1" s="1"/>
  <c r="B13" i="1" s="1"/>
  <c r="B14" i="1" s="1"/>
  <c r="B15" i="1" s="1"/>
  <c r="B5" i="1"/>
  <c r="AB111" i="2"/>
  <c r="AL93" i="2"/>
  <c r="F93" i="2"/>
  <c r="AL92" i="2"/>
  <c r="F92" i="2"/>
  <c r="AL91" i="2"/>
  <c r="F91" i="2"/>
  <c r="AL90" i="2"/>
  <c r="F90" i="2"/>
  <c r="AL89" i="2"/>
  <c r="F89" i="2"/>
  <c r="AL88" i="2"/>
  <c r="F88" i="2"/>
  <c r="AL87" i="2"/>
  <c r="F87" i="2"/>
  <c r="AL86" i="2"/>
  <c r="F86" i="2"/>
  <c r="AL85" i="2"/>
  <c r="F85" i="2"/>
  <c r="AL84" i="2"/>
  <c r="F84" i="2"/>
  <c r="AL83" i="2"/>
  <c r="F83" i="2"/>
  <c r="AL82" i="2"/>
  <c r="F82" i="2"/>
  <c r="AL81" i="2"/>
  <c r="F81" i="2"/>
  <c r="AL80" i="2"/>
  <c r="F80" i="2"/>
  <c r="AL79" i="2"/>
  <c r="F79" i="2"/>
  <c r="AL78" i="2"/>
  <c r="F78" i="2"/>
  <c r="AL77" i="2"/>
  <c r="F77" i="2"/>
  <c r="AL76" i="2"/>
  <c r="F76" i="2"/>
  <c r="AL75" i="2"/>
  <c r="F75" i="2"/>
  <c r="AL74" i="2"/>
  <c r="F74" i="2"/>
  <c r="AL73" i="2"/>
  <c r="F73" i="2"/>
  <c r="AL72" i="2"/>
  <c r="F72" i="2"/>
  <c r="AL71" i="2"/>
  <c r="F71" i="2"/>
  <c r="AL70" i="2"/>
  <c r="F70" i="2"/>
  <c r="AL69" i="2"/>
  <c r="F69" i="2"/>
  <c r="AL68" i="2"/>
  <c r="F68" i="2"/>
  <c r="AL67" i="2"/>
  <c r="F67" i="2"/>
  <c r="AL66" i="2"/>
  <c r="F66" i="2"/>
  <c r="AL65" i="2"/>
  <c r="F65" i="2"/>
  <c r="AL64" i="2"/>
  <c r="F64" i="2"/>
  <c r="AL63" i="2"/>
  <c r="F63" i="2"/>
  <c r="AL62" i="2"/>
  <c r="F62" i="2"/>
  <c r="AL61" i="2"/>
  <c r="F61" i="2"/>
  <c r="AL60" i="2"/>
  <c r="F60" i="2"/>
  <c r="AL59" i="2"/>
  <c r="F59" i="2"/>
  <c r="AL58" i="2"/>
  <c r="F58" i="2"/>
  <c r="AL57" i="2"/>
  <c r="F57" i="2"/>
  <c r="AL56" i="2"/>
  <c r="F56" i="2"/>
  <c r="AL55" i="2"/>
  <c r="F55" i="2"/>
  <c r="AL54" i="2"/>
  <c r="F54" i="2"/>
  <c r="AL53" i="2"/>
  <c r="F53" i="2"/>
  <c r="AL52" i="2"/>
  <c r="F52" i="2"/>
  <c r="AL51" i="2"/>
  <c r="F51" i="2"/>
  <c r="AL50" i="2"/>
  <c r="F50" i="2"/>
  <c r="AL49" i="2"/>
  <c r="F49" i="2"/>
  <c r="AL48" i="2"/>
  <c r="F48" i="2"/>
  <c r="AL47" i="2"/>
  <c r="F47" i="2"/>
  <c r="AL46" i="2"/>
  <c r="F46" i="2"/>
  <c r="AL45" i="2"/>
  <c r="F45" i="2"/>
  <c r="AL44" i="2"/>
  <c r="F44" i="2"/>
  <c r="AL43" i="2"/>
  <c r="F43" i="2"/>
  <c r="AL42" i="2"/>
  <c r="F42" i="2"/>
  <c r="AL41" i="2"/>
  <c r="F41" i="2"/>
  <c r="AL40" i="2"/>
  <c r="F40" i="2"/>
  <c r="AL39" i="2"/>
  <c r="F39" i="2"/>
  <c r="AL38" i="2"/>
  <c r="F38" i="2"/>
  <c r="AL37" i="2"/>
  <c r="F37" i="2"/>
  <c r="AL36" i="2"/>
  <c r="F36" i="2"/>
  <c r="AL35" i="2"/>
  <c r="F35" i="2"/>
  <c r="AL34" i="2"/>
  <c r="F34" i="2"/>
  <c r="AL33" i="2"/>
  <c r="F33" i="2"/>
  <c r="AL32" i="2"/>
  <c r="F32" i="2"/>
  <c r="AL31" i="2"/>
  <c r="F31" i="2"/>
  <c r="AL30" i="2"/>
  <c r="F30" i="2"/>
  <c r="AL29" i="2"/>
  <c r="F29" i="2"/>
  <c r="AL28" i="2"/>
  <c r="F28" i="2"/>
  <c r="AL27" i="2"/>
  <c r="F27" i="2"/>
  <c r="AL26" i="2"/>
  <c r="F26" i="2"/>
  <c r="AL25" i="2"/>
  <c r="F25" i="2"/>
  <c r="AL24" i="2"/>
  <c r="F24" i="2"/>
  <c r="AL23" i="2"/>
  <c r="F23" i="2"/>
  <c r="AL22" i="2"/>
  <c r="F22" i="2"/>
  <c r="AL21" i="2"/>
  <c r="F21" i="2"/>
  <c r="AL20" i="2"/>
  <c r="F20" i="2"/>
  <c r="AL19" i="2"/>
  <c r="F19" i="2"/>
  <c r="AL18" i="2"/>
  <c r="F18" i="2"/>
  <c r="AL17" i="2"/>
  <c r="F17" i="2"/>
  <c r="AL16" i="2"/>
  <c r="F16" i="2"/>
  <c r="AL15" i="2"/>
  <c r="F15" i="2"/>
  <c r="AL14" i="2"/>
  <c r="F14" i="2"/>
  <c r="AL13" i="2"/>
  <c r="F13" i="2"/>
  <c r="AL12" i="2"/>
  <c r="F12" i="2"/>
  <c r="AL11" i="2"/>
  <c r="F11" i="2"/>
  <c r="AL10" i="2"/>
  <c r="F10" i="2"/>
  <c r="AL9" i="2"/>
  <c r="F9" i="2"/>
  <c r="AL8" i="2"/>
  <c r="F8" i="2"/>
  <c r="AL7" i="2"/>
  <c r="F7" i="2"/>
  <c r="AL6" i="2"/>
  <c r="AL94" i="2" s="1"/>
  <c r="F6" i="2"/>
  <c r="A95" i="2" l="1"/>
</calcChain>
</file>

<file path=xl/sharedStrings.xml><?xml version="1.0" encoding="utf-8"?>
<sst xmlns="http://schemas.openxmlformats.org/spreadsheetml/2006/main" count="46" uniqueCount="26">
  <si>
    <t>AYLAR</t>
  </si>
  <si>
    <t>BAŞLANGIÇ TARİHİ</t>
  </si>
  <si>
    <t>OCAK</t>
  </si>
  <si>
    <t>ŞUBAT</t>
  </si>
  <si>
    <t>MART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</si>
  <si>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</si>
  <si>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</si>
  <si>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</si>
  <si>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</si>
  <si>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</si>
  <si>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</si>
  <si>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</si>
  <si>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</si>
  <si>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</si>
  <si>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VERİ TİPİ</t>
  </si>
  <si>
    <t>TOPLAM</t>
  </si>
  <si>
    <t>İhsan HOMAN</t>
  </si>
  <si>
    <t xml:space="preserve"> </t>
  </si>
  <si>
    <t>GENEL TOPLAM</t>
  </si>
  <si>
    <t>NOT 1:</t>
  </si>
  <si>
    <t>NOT 2:</t>
  </si>
  <si>
    <t>NOT 3:</t>
  </si>
  <si>
    <t>NOT 4:</t>
  </si>
  <si>
    <t>Müdür Yardımcısı</t>
  </si>
  <si>
    <t>Okul Müdürü</t>
  </si>
  <si>
    <t>BİTİŞ TARİHİ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</si>
</sst>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1"/>
      <color theme="1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sz val="12"/>
      <name val="Times New Roman"/>
      <family val="1"/>
      <charset val="162"/>
    </font>
    <font>
      <sz val="10"/>
      <name val="Times New Roman"/>
      <family val="1"/>
      <charset val="162"/>
    </font>
    <font>
      <b/>
      <sz val="11"/>
      <name val="Times New Roman"/>
      <family val="1"/>
      <charset val="162"/>
    </font>
    <font>
      <b/>
      <sz val="8"/>
      <name val="Times New Roman"/>
      <family val="1"/>
      <charset val="162"/>
    </font>
    <font>
      <sz val="11"/>
      <name val="Times New Roman"/>
      <family val="1"/>
      <charset val="162"/>
    </font>
    <font>
      <b/>
      <sz val="8"/>
      <color rgb="FFFFFF00"/>
      <name val="Times New Roman"/>
      <family val="1"/>
      <charset val="162"/>
    </font>
    <font>
      <b/>
      <sz val="12"/>
      <name val="Times New Roman"/>
      <family val="1"/>
      <charset val="162"/>
    </font>
    <font>
      <sz val="8"/>
      <color rgb="FFFFFF00"/>
      <name val="Arial Tur"/>
      <charset val="162"/>
    </font>
    <font>
      <sz val="8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9"/>
      <name val="Times New Roman"/>
      <family val="1"/>
      <charset val="162"/>
    </font>
    <font>
      <sz val="8"/>
      <name val="Arial Tur"/>
      <charset val="16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8">
    <xf numFmtId="0" fontId="0" fillId="0" borderId="0" xfId="0"/>
    <xf numFmtId="0" fontId="2" fillId="3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/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/>
    <xf numFmtId="0" fontId="6" fillId="0" borderId="0" xfId="0" applyFont="1"/>
    <xf numFmtId="164" fontId="4" fillId="0" borderId="2" xfId="0" applyNumberFormat="1" applyFont="1" applyBorder="1" applyAlignment="1">
      <alignment horizontal="center" vertical="center" wrapText="1"/>
    </xf>
    <xf numFmtId="164" fontId="4" fillId="0" borderId="4" xfId="0" applyNumberFormat="1" applyFont="1" applyBorder="1" applyAlignment="1">
      <alignment horizontal="center" vertical="center" wrapText="1"/>
    </xf>
    <xf numFmtId="164" fontId="7" fillId="4" borderId="5" xfId="0" applyNumberFormat="1" applyFont="1" applyFill="1" applyBorder="1" applyAlignment="1">
      <alignment horizontal="center" vertical="center" textRotation="90" wrapText="1" shrinkToFit="1"/>
    </xf>
    <xf numFmtId="0" fontId="4" fillId="0" borderId="7" xfId="0" applyFont="1" applyBorder="1" applyAlignment="1">
      <alignment horizontal="center" vertical="center" textRotation="90" shrinkToFit="1"/>
    </xf>
    <xf numFmtId="164" fontId="8" fillId="0" borderId="2" xfId="0" applyNumberFormat="1" applyFont="1" applyBorder="1" applyAlignment="1">
      <alignment horizontal="center" vertical="center" shrinkToFit="1"/>
    </xf>
    <xf numFmtId="164" fontId="8" fillId="0" borderId="4" xfId="0" applyNumberFormat="1" applyFont="1" applyBorder="1" applyAlignment="1">
      <alignment horizontal="center" vertical="center" shrinkToFit="1"/>
    </xf>
    <xf numFmtId="164" fontId="7" fillId="4" borderId="8" xfId="0" applyNumberFormat="1" applyFont="1" applyFill="1" applyBorder="1" applyAlignment="1">
      <alignment horizontal="center" vertical="center" textRotation="90" wrapText="1" shrinkToFit="1"/>
    </xf>
    <xf numFmtId="0" fontId="4" fillId="0" borderId="9" xfId="0" applyFont="1" applyBorder="1" applyAlignment="1">
      <alignment horizontal="center" vertical="center" textRotation="90" shrinkToFit="1"/>
    </xf>
    <xf numFmtId="164" fontId="4" fillId="0" borderId="2" xfId="0" applyNumberFormat="1" applyFont="1" applyBorder="1" applyAlignment="1">
      <alignment horizontal="right" vertical="center"/>
    </xf>
    <xf numFmtId="164" fontId="4" fillId="0" borderId="4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7" fillId="4" borderId="10" xfId="0" applyNumberFormat="1" applyFont="1" applyFill="1" applyBorder="1" applyAlignment="1">
      <alignment horizontal="center" vertical="center" textRotation="90" wrapText="1" shrinkToFit="1"/>
    </xf>
    <xf numFmtId="0" fontId="4" fillId="0" borderId="12" xfId="0" applyFont="1" applyBorder="1" applyAlignment="1">
      <alignment horizontal="center" vertical="center" textRotation="90" shrinkToFit="1"/>
    </xf>
    <xf numFmtId="164" fontId="9" fillId="4" borderId="13" xfId="0" applyNumberFormat="1" applyFont="1" applyFill="1" applyBorder="1" applyAlignment="1">
      <alignment horizontal="center" shrinkToFit="1"/>
    </xf>
    <xf numFmtId="0" fontId="6" fillId="5" borderId="6" xfId="1" applyFont="1" applyFill="1" applyBorder="1" applyAlignment="1">
      <alignment horizontal="center" vertical="center" shrinkToFit="1"/>
    </xf>
    <xf numFmtId="0" fontId="6" fillId="0" borderId="6" xfId="1" applyFont="1" applyFill="1" applyBorder="1" applyAlignment="1">
      <alignment horizontal="center" vertical="center" shrinkToFit="1"/>
    </xf>
    <xf numFmtId="0" fontId="6" fillId="4" borderId="6" xfId="1" applyFont="1" applyFill="1" applyBorder="1" applyAlignment="1">
      <alignment horizontal="center" vertical="center" shrinkToFit="1"/>
    </xf>
    <xf numFmtId="0" fontId="6" fillId="4" borderId="7" xfId="1" applyFont="1" applyFill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164" fontId="9" fillId="4" borderId="15" xfId="0" applyNumberFormat="1" applyFont="1" applyFill="1" applyBorder="1" applyAlignment="1">
      <alignment horizontal="center" shrinkToFit="1"/>
    </xf>
    <xf numFmtId="0" fontId="6" fillId="5" borderId="2" xfId="1" applyFont="1" applyFill="1" applyBorder="1" applyAlignment="1">
      <alignment horizontal="center" vertical="center" shrinkToFit="1"/>
    </xf>
    <xf numFmtId="0" fontId="6" fillId="0" borderId="2" xfId="1" applyFont="1" applyFill="1" applyBorder="1" applyAlignment="1">
      <alignment horizontal="center" vertical="center" shrinkToFit="1"/>
    </xf>
    <xf numFmtId="0" fontId="6" fillId="4" borderId="2" xfId="1" applyFont="1" applyFill="1" applyBorder="1" applyAlignment="1">
      <alignment horizontal="center" vertical="center" shrinkToFit="1"/>
    </xf>
    <xf numFmtId="0" fontId="6" fillId="4" borderId="9" xfId="1" applyFont="1" applyFill="1" applyBorder="1" applyAlignment="1">
      <alignment horizontal="center" vertical="center" shrinkToFit="1"/>
    </xf>
    <xf numFmtId="0" fontId="4" fillId="0" borderId="16" xfId="0" applyFont="1" applyBorder="1" applyAlignment="1">
      <alignment horizontal="center" vertical="center" shrinkToFit="1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14" fontId="4" fillId="0" borderId="23" xfId="0" applyNumberFormat="1" applyFont="1" applyBorder="1" applyAlignment="1">
      <alignment horizontal="left" vertical="center" textRotation="90"/>
    </xf>
    <xf numFmtId="14" fontId="4" fillId="0" borderId="24" xfId="0" applyNumberFormat="1" applyFont="1" applyBorder="1" applyAlignment="1">
      <alignment horizontal="left" vertical="center" textRotation="90"/>
    </xf>
    <xf numFmtId="14" fontId="4" fillId="0" borderId="25" xfId="0" applyNumberFormat="1" applyFont="1" applyBorder="1" applyAlignment="1">
      <alignment horizontal="left" vertical="center" textRotation="90"/>
    </xf>
    <xf numFmtId="14" fontId="4" fillId="5" borderId="23" xfId="0" applyNumberFormat="1" applyFont="1" applyFill="1" applyBorder="1" applyAlignment="1">
      <alignment horizontal="center" vertical="center" textRotation="90"/>
    </xf>
    <xf numFmtId="14" fontId="4" fillId="5" borderId="24" xfId="0" applyNumberFormat="1" applyFont="1" applyFill="1" applyBorder="1" applyAlignment="1">
      <alignment horizontal="center" vertical="center" textRotation="90"/>
    </xf>
    <xf numFmtId="14" fontId="4" fillId="5" borderId="25" xfId="0" applyNumberFormat="1" applyFont="1" applyFill="1" applyBorder="1" applyAlignment="1">
      <alignment horizontal="center" vertical="center" textRotation="90"/>
    </xf>
    <xf numFmtId="14" fontId="0" fillId="0" borderId="0" xfId="0" applyNumberFormat="1" applyAlignment="1">
      <alignment horizontal="center"/>
    </xf>
    <xf numFmtId="0" fontId="2" fillId="3" borderId="0" xfId="0" applyFont="1" applyFill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14" fontId="3" fillId="0" borderId="0" xfId="0" applyNumberFormat="1" applyFont="1" applyAlignment="1" applyProtection="1">
      <alignment horizontal="center" vertical="center"/>
      <protection hidden="1"/>
    </xf>
    <xf numFmtId="14" fontId="2" fillId="0" borderId="0" xfId="0" applyNumberFormat="1" applyFont="1" applyProtection="1"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4" fontId="4" fillId="5" borderId="23" xfId="0" applyNumberFormat="1" applyFont="1" applyFill="1" applyBorder="1" applyAlignment="1" applyProtection="1">
      <alignment horizontal="center" vertical="center" textRotation="90"/>
      <protection hidden="1"/>
    </xf>
    <xf numFmtId="14" fontId="4" fillId="0" borderId="23" xfId="0" applyNumberFormat="1" applyFont="1" applyBorder="1" applyAlignment="1" applyProtection="1">
      <alignment horizontal="left" vertical="center" textRotation="90"/>
      <protection hidden="1"/>
    </xf>
    <xf numFmtId="14" fontId="4" fillId="5" borderId="24" xfId="0" applyNumberFormat="1" applyFont="1" applyFill="1" applyBorder="1" applyAlignment="1" applyProtection="1">
      <alignment horizontal="center" vertical="center" textRotation="90"/>
      <protection hidden="1"/>
    </xf>
    <xf numFmtId="14" fontId="4" fillId="0" borderId="24" xfId="0" applyNumberFormat="1" applyFont="1" applyBorder="1" applyAlignment="1" applyProtection="1">
      <alignment horizontal="left" vertical="center" textRotation="90"/>
      <protection hidden="1"/>
    </xf>
    <xf numFmtId="14" fontId="4" fillId="5" borderId="25" xfId="0" applyNumberFormat="1" applyFont="1" applyFill="1" applyBorder="1" applyAlignment="1" applyProtection="1">
      <alignment horizontal="center" vertical="center" textRotation="90"/>
      <protection hidden="1"/>
    </xf>
    <xf numFmtId="14" fontId="4" fillId="0" borderId="25" xfId="0" applyNumberFormat="1" applyFont="1" applyBorder="1" applyAlignment="1" applyProtection="1">
      <alignment horizontal="left" vertical="center" textRotation="90"/>
      <protection hidden="1"/>
    </xf>
    <xf numFmtId="0" fontId="4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6" fillId="0" borderId="0" xfId="0" applyFont="1" applyProtection="1">
      <protection locked="0"/>
    </xf>
    <xf numFmtId="164" fontId="4" fillId="0" borderId="2" xfId="0" applyNumberFormat="1" applyFont="1" applyBorder="1" applyAlignment="1" applyProtection="1">
      <alignment horizontal="center" vertical="center" wrapText="1"/>
      <protection locked="0"/>
    </xf>
    <xf numFmtId="164" fontId="4" fillId="0" borderId="4" xfId="0" applyNumberFormat="1" applyFont="1" applyBorder="1" applyAlignment="1" applyProtection="1">
      <alignment horizontal="center" vertical="center" wrapText="1"/>
      <protection locked="0"/>
    </xf>
    <xf numFmtId="164" fontId="7" fillId="4" borderId="5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4" fillId="0" borderId="7" xfId="0" applyFont="1" applyBorder="1" applyAlignment="1" applyProtection="1">
      <alignment horizontal="center" vertical="center" textRotation="90" shrinkToFit="1"/>
      <protection locked="0"/>
    </xf>
    <xf numFmtId="164" fontId="8" fillId="0" borderId="2" xfId="0" applyNumberFormat="1" applyFont="1" applyBorder="1" applyAlignment="1" applyProtection="1">
      <alignment horizontal="center" vertical="center" shrinkToFit="1"/>
      <protection locked="0"/>
    </xf>
    <xf numFmtId="164" fontId="8" fillId="0" borderId="4" xfId="0" applyNumberFormat="1" applyFont="1" applyBorder="1" applyAlignment="1" applyProtection="1">
      <alignment horizontal="center" vertical="center" shrinkToFit="1"/>
      <protection locked="0"/>
    </xf>
    <xf numFmtId="164" fontId="7" fillId="4" borderId="8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4" fillId="0" borderId="9" xfId="0" applyFont="1" applyBorder="1" applyAlignment="1" applyProtection="1">
      <alignment horizontal="center" vertical="center" textRotation="90" shrinkToFit="1"/>
      <protection locked="0"/>
    </xf>
    <xf numFmtId="164" fontId="4" fillId="0" borderId="2" xfId="0" applyNumberFormat="1" applyFont="1" applyBorder="1" applyAlignment="1" applyProtection="1">
      <alignment horizontal="right" vertic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164" fontId="4" fillId="0" borderId="4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7" fillId="4" borderId="1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4" fillId="0" borderId="12" xfId="0" applyFont="1" applyBorder="1" applyAlignment="1" applyProtection="1">
      <alignment horizontal="center" vertical="center" textRotation="90" shrinkToFit="1"/>
      <protection locked="0"/>
    </xf>
    <xf numFmtId="164" fontId="9" fillId="4" borderId="13" xfId="0" applyNumberFormat="1" applyFont="1" applyFill="1" applyBorder="1" applyAlignment="1" applyProtection="1">
      <alignment horizontal="center" shrinkToFit="1"/>
      <protection locked="0"/>
    </xf>
    <xf numFmtId="0" fontId="6" fillId="5" borderId="6" xfId="1" applyFont="1" applyFill="1" applyBorder="1" applyAlignment="1" applyProtection="1">
      <alignment horizontal="center" vertical="center" shrinkToFit="1"/>
      <protection locked="0"/>
    </xf>
    <xf numFmtId="0" fontId="6" fillId="0" borderId="6" xfId="1" applyFont="1" applyFill="1" applyBorder="1" applyAlignment="1" applyProtection="1">
      <alignment horizontal="center" vertical="center" shrinkToFit="1"/>
      <protection locked="0"/>
    </xf>
    <xf numFmtId="0" fontId="6" fillId="4" borderId="6" xfId="1" applyFont="1" applyFill="1" applyBorder="1" applyAlignment="1" applyProtection="1">
      <alignment horizontal="center" vertical="center" shrinkToFit="1"/>
      <protection locked="0"/>
    </xf>
    <xf numFmtId="0" fontId="6" fillId="4" borderId="7" xfId="1" applyFont="1" applyFill="1" applyBorder="1" applyAlignment="1" applyProtection="1">
      <alignment horizontal="center" vertical="center" shrinkToFit="1"/>
      <protection locked="0"/>
    </xf>
    <xf numFmtId="0" fontId="4" fillId="0" borderId="14" xfId="0" applyFont="1" applyBorder="1" applyAlignment="1" applyProtection="1">
      <alignment horizontal="center" vertical="center" shrinkToFit="1"/>
      <protection locked="0"/>
    </xf>
    <xf numFmtId="164" fontId="9" fillId="4" borderId="15" xfId="0" applyNumberFormat="1" applyFont="1" applyFill="1" applyBorder="1" applyAlignment="1" applyProtection="1">
      <alignment horizontal="center" shrinkToFit="1"/>
      <protection locked="0"/>
    </xf>
    <xf numFmtId="0" fontId="6" fillId="5" borderId="2" xfId="1" applyFont="1" applyFill="1" applyBorder="1" applyAlignment="1" applyProtection="1">
      <alignment horizontal="center" vertical="center" shrinkToFit="1"/>
      <protection locked="0"/>
    </xf>
    <xf numFmtId="0" fontId="6" fillId="0" borderId="2" xfId="1" applyFont="1" applyFill="1" applyBorder="1" applyAlignment="1" applyProtection="1">
      <alignment horizontal="center" vertical="center" shrinkToFit="1"/>
      <protection locked="0"/>
    </xf>
    <xf numFmtId="0" fontId="6" fillId="4" borderId="2" xfId="1" applyFont="1" applyFill="1" applyBorder="1" applyAlignment="1" applyProtection="1">
      <alignment horizontal="center" vertical="center" shrinkToFit="1"/>
      <protection locked="0"/>
    </xf>
    <xf numFmtId="0" fontId="6" fillId="4" borderId="9" xfId="1" applyFont="1" applyFill="1" applyBorder="1" applyAlignment="1" applyProtection="1">
      <alignment horizontal="center" vertical="center" shrinkToFit="1"/>
      <protection locked="0"/>
    </xf>
    <xf numFmtId="0" fontId="4" fillId="0" borderId="16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3" borderId="2" xfId="1" applyFont="1" applyFill="1" applyBorder="1" applyAlignment="1" applyProtection="1">
      <alignment horizontal="center" vertical="center" shrinkToFit="1"/>
      <protection locked="0"/>
    </xf>
    <xf numFmtId="164" fontId="9" fillId="4" borderId="17" xfId="0" applyNumberFormat="1" applyFont="1" applyFill="1" applyBorder="1" applyAlignment="1" applyProtection="1">
      <alignment horizontal="center" shrinkToFit="1"/>
      <protection locked="0"/>
    </xf>
    <xf numFmtId="0" fontId="6" fillId="5" borderId="11" xfId="1" applyFont="1" applyFill="1" applyBorder="1" applyAlignment="1" applyProtection="1">
      <alignment horizontal="center" vertical="center" shrinkToFit="1"/>
      <protection locked="0"/>
    </xf>
    <xf numFmtId="0" fontId="6" fillId="0" borderId="11" xfId="1" applyFont="1" applyFill="1" applyBorder="1" applyAlignment="1" applyProtection="1">
      <alignment horizontal="center" vertical="center" shrinkToFit="1"/>
      <protection locked="0"/>
    </xf>
    <xf numFmtId="0" fontId="6" fillId="4" borderId="11" xfId="1" applyFont="1" applyFill="1" applyBorder="1" applyAlignment="1" applyProtection="1">
      <alignment horizontal="center" vertical="center" shrinkToFit="1"/>
      <protection locked="0"/>
    </xf>
    <xf numFmtId="0" fontId="6" fillId="4" borderId="12" xfId="1" applyFont="1" applyFill="1" applyBorder="1" applyAlignment="1" applyProtection="1">
      <alignment horizontal="center" vertical="center" shrinkToFi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164" fontId="6" fillId="0" borderId="0" xfId="0" applyNumberFormat="1" applyFont="1" applyProtection="1">
      <protection locked="0"/>
    </xf>
    <xf numFmtId="164" fontId="6" fillId="0" borderId="0" xfId="0" applyNumberFormat="1" applyFont="1" applyAlignment="1" applyProtection="1">
      <alignment horizontal="center"/>
      <protection locked="0"/>
    </xf>
    <xf numFmtId="164" fontId="10" fillId="0" borderId="0" xfId="0" applyNumberFormat="1" applyFont="1" applyAlignment="1" applyProtection="1">
      <alignment horizontal="center"/>
      <protection locked="0"/>
    </xf>
    <xf numFmtId="0" fontId="8" fillId="0" borderId="19" xfId="0" applyFont="1" applyBorder="1" applyAlignment="1" applyProtection="1">
      <alignment horizontal="center" vertical="center" shrinkToFit="1"/>
      <protection locked="0"/>
    </xf>
    <xf numFmtId="0" fontId="8" fillId="0" borderId="20" xfId="0" applyFont="1" applyBorder="1" applyAlignment="1" applyProtection="1">
      <alignment horizontal="center" vertical="center" shrinkToFit="1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indent="7"/>
      <protection locked="0"/>
    </xf>
    <xf numFmtId="0" fontId="11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left" indent="7"/>
      <protection locked="0"/>
    </xf>
    <xf numFmtId="0" fontId="3" fillId="4" borderId="0" xfId="0" applyFont="1" applyFill="1" applyProtection="1">
      <protection locked="0"/>
    </xf>
    <xf numFmtId="164" fontId="3" fillId="0" borderId="0" xfId="0" applyNumberFormat="1" applyFont="1" applyProtection="1"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vertical="center" shrinkToFit="1"/>
      <protection locked="0"/>
    </xf>
    <xf numFmtId="0" fontId="11" fillId="5" borderId="0" xfId="0" applyFont="1" applyFill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164" fontId="11" fillId="0" borderId="0" xfId="0" applyNumberFormat="1" applyFont="1" applyAlignment="1" applyProtection="1">
      <alignment horizontal="left" vertical="center" wrapText="1"/>
      <protection locked="0"/>
    </xf>
    <xf numFmtId="0" fontId="11" fillId="0" borderId="0" xfId="0" applyFont="1" applyAlignment="1" applyProtection="1">
      <alignment horizontal="left" vertical="center" wrapText="1"/>
      <protection locked="0"/>
    </xf>
    <xf numFmtId="0" fontId="11" fillId="4" borderId="0" xfId="0" applyFont="1" applyFill="1" applyAlignment="1" applyProtection="1">
      <alignment horizontal="left" vertical="center" wrapText="1"/>
      <protection locked="0"/>
    </xf>
    <xf numFmtId="164" fontId="0" fillId="0" borderId="0" xfId="0" applyNumberFormat="1" applyAlignment="1" applyProtection="1">
      <alignment vertical="center" wrapText="1"/>
      <protection locked="0"/>
    </xf>
    <xf numFmtId="164" fontId="13" fillId="0" borderId="0" xfId="0" applyNumberFormat="1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6" fillId="4" borderId="0" xfId="0" applyFont="1" applyFill="1" applyProtection="1">
      <protection locked="0"/>
    </xf>
  </cellXfs>
  <cellStyles count="2">
    <cellStyle name="Çıkış" xfId="1" builtinId="21"/>
    <cellStyle name="Normal" xfId="0" builtinId="0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bookPRO/Downloads/sor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arametreler"/>
      <sheetName val="Sayfa1"/>
      <sheetName val="VeriTipleriListesi"/>
    </sheetNames>
    <sheetDataSet>
      <sheetData sheetId="0">
        <row r="2">
          <cell r="A2" t="str">
            <v>Gündüz</v>
          </cell>
          <cell r="B2">
            <v>101</v>
          </cell>
        </row>
        <row r="3">
          <cell r="A3" t="str">
            <v>Nöbet Ücreti</v>
          </cell>
          <cell r="B3">
            <v>119</v>
          </cell>
        </row>
        <row r="4">
          <cell r="A4" t="str">
            <v>Gece</v>
          </cell>
          <cell r="B4">
            <v>102</v>
          </cell>
        </row>
        <row r="5">
          <cell r="A5" t="str">
            <v>%25 Fazla Gündüz</v>
          </cell>
          <cell r="B5">
            <v>103</v>
          </cell>
        </row>
        <row r="6">
          <cell r="A6" t="str">
            <v>%25 Fazla Gece</v>
          </cell>
          <cell r="B6">
            <v>104</v>
          </cell>
        </row>
        <row r="7">
          <cell r="A7" t="str">
            <v>Belleticilik</v>
          </cell>
          <cell r="B7">
            <v>106</v>
          </cell>
        </row>
        <row r="8">
          <cell r="A8" t="str">
            <v>Sınav Görevi</v>
          </cell>
          <cell r="B8">
            <v>107</v>
          </cell>
        </row>
        <row r="9">
          <cell r="A9" t="str">
            <v>Egzersiz</v>
          </cell>
          <cell r="B9">
            <v>108</v>
          </cell>
        </row>
        <row r="10">
          <cell r="A10" t="str">
            <v>Hizmetiçi</v>
          </cell>
          <cell r="B10">
            <v>109</v>
          </cell>
        </row>
        <row r="11">
          <cell r="A11" t="str">
            <v>Ek Ders Yerine Geçen Görev-Gündüz</v>
          </cell>
          <cell r="B11">
            <v>110</v>
          </cell>
        </row>
        <row r="12">
          <cell r="A12" t="str">
            <v>Ek Ders Yerine Geçen Görev-Gece</v>
          </cell>
          <cell r="B12">
            <v>111</v>
          </cell>
        </row>
        <row r="13">
          <cell r="A13" t="str">
            <v>Ek Ders Yerine Geçen Görev-% 25 Gündüz</v>
          </cell>
          <cell r="B13">
            <v>112</v>
          </cell>
        </row>
        <row r="14">
          <cell r="A14" t="str">
            <v xml:space="preserve">Ek Ders Yerine Geçen Görev-%25 Gece </v>
          </cell>
          <cell r="B14">
            <v>113</v>
          </cell>
        </row>
        <row r="15">
          <cell r="A15" t="str">
            <v>Atış Eğitimi</v>
          </cell>
          <cell r="B15">
            <v>114</v>
          </cell>
        </row>
        <row r="16">
          <cell r="A16" t="str">
            <v>Ceza Evleri Eğitim Merkezi-160*saat</v>
          </cell>
          <cell r="B16">
            <v>115</v>
          </cell>
        </row>
        <row r="17">
          <cell r="A17" t="str">
            <v>Takviye Kursu Gündüz</v>
          </cell>
          <cell r="B17">
            <v>116</v>
          </cell>
        </row>
        <row r="18">
          <cell r="A18" t="str">
            <v>Takviye Kursu Gece</v>
          </cell>
          <cell r="B18">
            <v>117</v>
          </cell>
        </row>
        <row r="19">
          <cell r="A19" t="str">
            <v>Belleticilik %25 Fazla</v>
          </cell>
          <cell r="B19">
            <v>118</v>
          </cell>
        </row>
        <row r="20">
          <cell r="A20" t="str">
            <v>Nöbet Ücreti %25 Fazla</v>
          </cell>
          <cell r="B20">
            <v>121</v>
          </cell>
        </row>
        <row r="21">
          <cell r="A21" t="str">
            <v>İYEP Gündüz</v>
          </cell>
          <cell r="B21">
            <v>122</v>
          </cell>
        </row>
        <row r="22">
          <cell r="A22" t="str">
            <v>İYEP Gece-HS</v>
          </cell>
          <cell r="B22">
            <v>123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9DF0E-3CE6-4E64-8802-89302E43BAE6}">
  <dimension ref="A3:C15"/>
  <sheetViews>
    <sheetView workbookViewId="0">
      <selection activeCell="C6" sqref="C6"/>
    </sheetView>
  </sheetViews>
  <sheetFormatPr defaultRowHeight="14.25" x14ac:dyDescent="0.45"/>
  <cols>
    <col min="1" max="1" width="18.265625" style="46" bestFit="1" customWidth="1"/>
    <col min="2" max="2" width="22" style="51" bestFit="1" customWidth="1"/>
    <col min="3" max="3" width="21.19921875" style="46" customWidth="1"/>
    <col min="4" max="16384" width="9.06640625" style="46"/>
  </cols>
  <sheetData>
    <row r="3" spans="1:3" ht="15.4" x14ac:dyDescent="0.45">
      <c r="A3" s="45" t="s">
        <v>0</v>
      </c>
      <c r="B3" s="45" t="s">
        <v>1</v>
      </c>
      <c r="C3" s="45" t="s">
        <v>25</v>
      </c>
    </row>
    <row r="4" spans="1:3" ht="15.4" x14ac:dyDescent="0.45">
      <c r="A4" s="47" t="s">
        <v>2</v>
      </c>
      <c r="B4" s="48">
        <v>43466</v>
      </c>
      <c r="C4" s="49">
        <f>EOMONTH(B4,0)</f>
        <v>43496</v>
      </c>
    </row>
    <row r="5" spans="1:3" ht="15.4" x14ac:dyDescent="0.45">
      <c r="A5" s="47" t="s">
        <v>3</v>
      </c>
      <c r="B5" s="50">
        <f>EDATE(B4,1)</f>
        <v>43497</v>
      </c>
      <c r="C5" s="49">
        <f t="shared" ref="C5:C15" si="0">EOMONTH(B5,0)</f>
        <v>43524</v>
      </c>
    </row>
    <row r="6" spans="1:3" ht="15.4" x14ac:dyDescent="0.45">
      <c r="A6" s="47" t="s">
        <v>4</v>
      </c>
      <c r="B6" s="50">
        <f t="shared" ref="B6:B15" si="1">EDATE(B5,1)</f>
        <v>43525</v>
      </c>
      <c r="C6" s="49">
        <f t="shared" si="0"/>
        <v>43555</v>
      </c>
    </row>
    <row r="7" spans="1:3" ht="15.4" x14ac:dyDescent="0.45">
      <c r="A7" s="47" t="s">
        <v>5</v>
      </c>
      <c r="B7" s="50">
        <f t="shared" si="1"/>
        <v>43556</v>
      </c>
      <c r="C7" s="49">
        <f t="shared" si="0"/>
        <v>43585</v>
      </c>
    </row>
    <row r="8" spans="1:3" ht="15.4" x14ac:dyDescent="0.45">
      <c r="A8" s="47" t="s">
        <v>6</v>
      </c>
      <c r="B8" s="50">
        <f t="shared" si="1"/>
        <v>43586</v>
      </c>
      <c r="C8" s="49">
        <f t="shared" si="0"/>
        <v>43616</v>
      </c>
    </row>
    <row r="9" spans="1:3" ht="15.4" x14ac:dyDescent="0.45">
      <c r="A9" s="47" t="s">
        <v>7</v>
      </c>
      <c r="B9" s="50">
        <f t="shared" si="1"/>
        <v>43617</v>
      </c>
      <c r="C9" s="49">
        <f t="shared" si="0"/>
        <v>43646</v>
      </c>
    </row>
    <row r="10" spans="1:3" ht="15.4" x14ac:dyDescent="0.45">
      <c r="A10" s="47" t="s">
        <v>8</v>
      </c>
      <c r="B10" s="50">
        <f t="shared" si="1"/>
        <v>43647</v>
      </c>
      <c r="C10" s="49">
        <f t="shared" si="0"/>
        <v>43677</v>
      </c>
    </row>
    <row r="11" spans="1:3" ht="15.4" x14ac:dyDescent="0.45">
      <c r="A11" s="47" t="s">
        <v>9</v>
      </c>
      <c r="B11" s="50">
        <f t="shared" si="1"/>
        <v>43678</v>
      </c>
      <c r="C11" s="49">
        <f t="shared" si="0"/>
        <v>43708</v>
      </c>
    </row>
    <row r="12" spans="1:3" ht="15.4" x14ac:dyDescent="0.45">
      <c r="A12" s="47" t="s">
        <v>10</v>
      </c>
      <c r="B12" s="50">
        <f t="shared" si="1"/>
        <v>43709</v>
      </c>
      <c r="C12" s="49">
        <f t="shared" si="0"/>
        <v>43738</v>
      </c>
    </row>
    <row r="13" spans="1:3" ht="15.4" x14ac:dyDescent="0.45">
      <c r="A13" s="47" t="s">
        <v>11</v>
      </c>
      <c r="B13" s="50">
        <f t="shared" si="1"/>
        <v>43739</v>
      </c>
      <c r="C13" s="49">
        <f t="shared" si="0"/>
        <v>43769</v>
      </c>
    </row>
    <row r="14" spans="1:3" ht="15.4" x14ac:dyDescent="0.45">
      <c r="A14" s="47" t="s">
        <v>12</v>
      </c>
      <c r="B14" s="50">
        <f t="shared" si="1"/>
        <v>43770</v>
      </c>
      <c r="C14" s="49">
        <f t="shared" si="0"/>
        <v>43799</v>
      </c>
    </row>
    <row r="15" spans="1:3" ht="15.4" x14ac:dyDescent="0.45">
      <c r="A15" s="47" t="s">
        <v>13</v>
      </c>
      <c r="B15" s="50">
        <f t="shared" si="1"/>
        <v>43800</v>
      </c>
      <c r="C15" s="49">
        <f t="shared" si="0"/>
        <v>43830</v>
      </c>
    </row>
  </sheetData>
  <sheetProtection algorithmName="SHA-512" hashValue="HPkCKnPIsWTVf8vvCPrfxz17eHegLHlpWr/Eq0VSPSLJPIoU868fhu24jWVvf3FbBh06/EGcUjAd9PyYGyOr/g==" saltValue="Bcq81pMyXFMpaQ3Zw06LHQ==" spinCount="10000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71DE4-D84D-40D2-A8E4-A7984187B581}">
  <dimension ref="A1:AN115"/>
  <sheetViews>
    <sheetView tabSelected="1" workbookViewId="0">
      <selection activeCell="AH2" sqref="AH2:AH5"/>
    </sheetView>
  </sheetViews>
  <sheetFormatPr defaultColWidth="9.1328125" defaultRowHeight="13.9" x14ac:dyDescent="0.4"/>
  <cols>
    <col min="1" max="1" width="3.59765625" style="99" customWidth="1"/>
    <col min="2" max="2" width="3.73046875" style="99" customWidth="1"/>
    <col min="3" max="3" width="11" style="99" customWidth="1"/>
    <col min="4" max="4" width="9" style="100" customWidth="1"/>
    <col min="5" max="5" width="5.6640625" style="100" customWidth="1"/>
    <col min="6" max="6" width="4.59765625" style="101" customWidth="1"/>
    <col min="7" max="34" width="2.86328125" style="62" customWidth="1"/>
    <col min="35" max="37" width="2.86328125" style="127" customWidth="1"/>
    <col min="38" max="38" width="6.1328125" style="62" customWidth="1"/>
    <col min="39" max="40" width="10.73046875" style="61" customWidth="1"/>
    <col min="41" max="41" width="37.59765625" style="62" customWidth="1"/>
    <col min="42" max="16384" width="9.1328125" style="62"/>
  </cols>
  <sheetData>
    <row r="1" spans="1:39" ht="21" customHeight="1" thickBot="1" x14ac:dyDescent="0.45">
      <c r="A1" s="58"/>
      <c r="B1" s="58"/>
      <c r="C1" s="58"/>
      <c r="D1" s="58"/>
      <c r="E1" s="58"/>
      <c r="F1" s="59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9" ht="15" customHeight="1" x14ac:dyDescent="0.4">
      <c r="A2" s="63"/>
      <c r="B2" s="63"/>
      <c r="C2" s="63"/>
      <c r="D2" s="63"/>
      <c r="E2" s="64"/>
      <c r="F2" s="65" t="s">
        <v>14</v>
      </c>
      <c r="G2" s="52">
        <f>VLOOKUP(C4,Sayfa1!$A$4:$C$15,2,0)</f>
        <v>43770</v>
      </c>
      <c r="H2" s="53">
        <f>IFERROR(IF((G2+1)&lt;=VLOOKUP($C$4,Sayfa1!$A$3:$C$15,3,0),G2+1,""),"")</f>
        <v>43771</v>
      </c>
      <c r="I2" s="53">
        <f>IFERROR(IF((H2+1)&lt;=VLOOKUP($C$4,Sayfa1!$A$3:$C$15,3,0),H2+1,""),"")</f>
        <v>43772</v>
      </c>
      <c r="J2" s="53">
        <f>IFERROR(IF((I2+1)&lt;=VLOOKUP($C$4,Sayfa1!$A$3:$C$15,3,0),I2+1,""),"")</f>
        <v>43773</v>
      </c>
      <c r="K2" s="53">
        <f>IFERROR(IF((J2+1)&lt;=VLOOKUP($C$4,Sayfa1!$A$3:$C$15,3,0),J2+1,""),"")</f>
        <v>43774</v>
      </c>
      <c r="L2" s="53">
        <f>IFERROR(IF((K2+1)&lt;=VLOOKUP($C$4,Sayfa1!$A$3:$C$15,3,0),K2+1,""),"")</f>
        <v>43775</v>
      </c>
      <c r="M2" s="53">
        <f>IFERROR(IF((L2+1)&lt;=VLOOKUP($C$4,Sayfa1!$A$3:$C$15,3,0),L2+1,""),"")</f>
        <v>43776</v>
      </c>
      <c r="N2" s="53">
        <f>IFERROR(IF((M2+1)&lt;=VLOOKUP($C$4,Sayfa1!$A$3:$C$15,3,0),M2+1,""),"")</f>
        <v>43777</v>
      </c>
      <c r="O2" s="53">
        <f>IFERROR(IF((N2+1)&lt;=VLOOKUP($C$4,Sayfa1!$A$3:$C$15,3,0),N2+1,""),"")</f>
        <v>43778</v>
      </c>
      <c r="P2" s="53">
        <f>IFERROR(IF((O2+1)&lt;=VLOOKUP($C$4,Sayfa1!$A$3:$C$15,3,0),O2+1,""),"")</f>
        <v>43779</v>
      </c>
      <c r="Q2" s="53">
        <f>IFERROR(IF((P2+1)&lt;=VLOOKUP($C$4,Sayfa1!$A$3:$C$15,3,0),P2+1,""),"")</f>
        <v>43780</v>
      </c>
      <c r="R2" s="53">
        <f>IFERROR(IF((Q2+1)&lt;=VLOOKUP($C$4,Sayfa1!$A$3:$C$15,3,0),Q2+1,""),"")</f>
        <v>43781</v>
      </c>
      <c r="S2" s="53">
        <f>IFERROR(IF((R2+1)&lt;=VLOOKUP($C$4,Sayfa1!$A$3:$C$15,3,0),R2+1,""),"")</f>
        <v>43782</v>
      </c>
      <c r="T2" s="53">
        <f>IFERROR(IF((S2+1)&lt;=VLOOKUP($C$4,Sayfa1!$A$3:$C$15,3,0),S2+1,""),"")</f>
        <v>43783</v>
      </c>
      <c r="U2" s="53">
        <f>IFERROR(IF((T2+1)&lt;=VLOOKUP($C$4,Sayfa1!$A$3:$C$15,3,0),T2+1,""),"")</f>
        <v>43784</v>
      </c>
      <c r="V2" s="53">
        <f>IFERROR(IF((U2+1)&lt;=VLOOKUP($C$4,Sayfa1!$A$3:$C$15,3,0),U2+1,""),"")</f>
        <v>43785</v>
      </c>
      <c r="W2" s="53">
        <f>IFERROR(IF((V2+1)&lt;=VLOOKUP($C$4,Sayfa1!$A$3:$C$15,3,0),V2+1,""),"")</f>
        <v>43786</v>
      </c>
      <c r="X2" s="53">
        <f>IFERROR(IF((W2+1)&lt;=VLOOKUP($C$4,Sayfa1!$A$3:$C$15,3,0),W2+1,""),"")</f>
        <v>43787</v>
      </c>
      <c r="Y2" s="53">
        <f>IFERROR(IF((X2+1)&lt;=VLOOKUP($C$4,Sayfa1!$A$3:$C$15,3,0),X2+1,""),"")</f>
        <v>43788</v>
      </c>
      <c r="Z2" s="53">
        <f>IFERROR(IF((Y2+1)&lt;=VLOOKUP($C$4,Sayfa1!$A$3:$C$15,3,0),Y2+1,""),"")</f>
        <v>43789</v>
      </c>
      <c r="AA2" s="53">
        <f>IFERROR(IF((Z2+1)&lt;=VLOOKUP($C$4,Sayfa1!$A$3:$C$15,3,0),Z2+1,""),"")</f>
        <v>43790</v>
      </c>
      <c r="AB2" s="53">
        <f>IFERROR(IF((AA2+1)&lt;=VLOOKUP($C$4,Sayfa1!$A$3:$C$15,3,0),AA2+1,""),"")</f>
        <v>43791</v>
      </c>
      <c r="AC2" s="53">
        <f>IFERROR(IF((AB2+1)&lt;=VLOOKUP($C$4,Sayfa1!$A$3:$C$15,3,0),AB2+1,""),"")</f>
        <v>43792</v>
      </c>
      <c r="AD2" s="53">
        <f>IFERROR(IF((AC2+1)&lt;=VLOOKUP($C$4,Sayfa1!$A$3:$C$15,3,0),AC2+1,""),"")</f>
        <v>43793</v>
      </c>
      <c r="AE2" s="53">
        <f>IFERROR(IF((AD2+1)&lt;=VLOOKUP($C$4,Sayfa1!$A$3:$C$15,3,0),AD2+1,""),"")</f>
        <v>43794</v>
      </c>
      <c r="AF2" s="53">
        <f>IFERROR(IF((AE2+1)&lt;=VLOOKUP($C$4,Sayfa1!$A$3:$C$15,3,0),AE2+1,""),"")</f>
        <v>43795</v>
      </c>
      <c r="AG2" s="53">
        <f>IFERROR(IF((AF2+1)&lt;=VLOOKUP($C$4,Sayfa1!$A$3:$C$15,3,0),AF2+1,""),"")</f>
        <v>43796</v>
      </c>
      <c r="AH2" s="53">
        <f>IFERROR(IF((AG2+1)&lt;=VLOOKUP($C$4,Sayfa1!$A$3:$C$15,3,0),AG2+1,""),"")</f>
        <v>43797</v>
      </c>
      <c r="AI2" s="53">
        <f>IFERROR(IF((AH2+1)&lt;=VLOOKUP($C$4,Sayfa1!$A$3:$C$15,3,0),AH2+1,""),"")</f>
        <v>43798</v>
      </c>
      <c r="AJ2" s="53">
        <f>IFERROR(IF((AI2+1)&lt;=VLOOKUP($C$4,Sayfa1!$A$3:$C$15,3,0),AI2+1,""),"")</f>
        <v>43799</v>
      </c>
      <c r="AK2" s="53" t="str">
        <f>IFERROR(IF((AJ2+1)&lt;=VLOOKUP($C$4,Sayfa1!$A$3:$C$15,3,0),AJ2+1,""),"")</f>
        <v/>
      </c>
      <c r="AL2" s="66" t="s">
        <v>15</v>
      </c>
    </row>
    <row r="3" spans="1:39" ht="18.75" customHeight="1" x14ac:dyDescent="0.4">
      <c r="A3" s="67"/>
      <c r="B3" s="67"/>
      <c r="C3" s="67"/>
      <c r="D3" s="67"/>
      <c r="E3" s="68"/>
      <c r="F3" s="69"/>
      <c r="G3" s="54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70"/>
    </row>
    <row r="4" spans="1:39" s="75" customFormat="1" ht="15.75" customHeight="1" x14ac:dyDescent="0.45">
      <c r="A4" s="71"/>
      <c r="B4" s="71"/>
      <c r="C4" s="72" t="s">
        <v>12</v>
      </c>
      <c r="D4" s="73"/>
      <c r="E4" s="74"/>
      <c r="F4" s="69"/>
      <c r="G4" s="54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70"/>
    </row>
    <row r="5" spans="1:39" s="75" customFormat="1" ht="18.75" customHeight="1" thickBot="1" x14ac:dyDescent="0.5">
      <c r="A5" s="76"/>
      <c r="B5" s="76"/>
      <c r="C5" s="76"/>
      <c r="D5" s="76"/>
      <c r="E5" s="76"/>
      <c r="F5" s="77"/>
      <c r="G5" s="56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78"/>
    </row>
    <row r="6" spans="1:39" s="75" customFormat="1" ht="14.25" x14ac:dyDescent="0.45">
      <c r="A6" s="76"/>
      <c r="B6" s="76"/>
      <c r="C6" s="76"/>
      <c r="D6" s="76"/>
      <c r="E6" s="76"/>
      <c r="F6" s="79" t="str">
        <f>IFERROR(VLOOKUP(D6,[1]Data!$A$2:$B$22,2,FALSE),"")</f>
        <v/>
      </c>
      <c r="G6" s="80"/>
      <c r="H6" s="81"/>
      <c r="I6" s="81"/>
      <c r="J6" s="80"/>
      <c r="K6" s="81"/>
      <c r="L6" s="81"/>
      <c r="M6" s="81"/>
      <c r="N6" s="81"/>
      <c r="O6" s="81"/>
      <c r="P6" s="81"/>
      <c r="Q6" s="80"/>
      <c r="R6" s="81"/>
      <c r="S6" s="81"/>
      <c r="T6" s="81"/>
      <c r="U6" s="81"/>
      <c r="V6" s="81"/>
      <c r="W6" s="81"/>
      <c r="X6" s="80"/>
      <c r="Y6" s="81"/>
      <c r="Z6" s="81"/>
      <c r="AA6" s="81"/>
      <c r="AB6" s="81"/>
      <c r="AC6" s="81"/>
      <c r="AD6" s="81"/>
      <c r="AE6" s="80"/>
      <c r="AF6" s="81"/>
      <c r="AG6" s="81"/>
      <c r="AH6" s="81"/>
      <c r="AI6" s="82"/>
      <c r="AJ6" s="82"/>
      <c r="AK6" s="83"/>
      <c r="AL6" s="84">
        <f>SUM(G6:AK6)</f>
        <v>0</v>
      </c>
    </row>
    <row r="7" spans="1:39" s="75" customFormat="1" ht="14.25" x14ac:dyDescent="0.45">
      <c r="A7" s="76"/>
      <c r="B7" s="76"/>
      <c r="C7" s="76"/>
      <c r="D7" s="76"/>
      <c r="E7" s="76"/>
      <c r="F7" s="85" t="str">
        <f>IFERROR(VLOOKUP(D7,[1]Data!$A$2:$B$22,2,FALSE),"")</f>
        <v/>
      </c>
      <c r="G7" s="86"/>
      <c r="H7" s="87"/>
      <c r="I7" s="87"/>
      <c r="J7" s="86"/>
      <c r="K7" s="87"/>
      <c r="L7" s="87"/>
      <c r="M7" s="87"/>
      <c r="N7" s="87"/>
      <c r="O7" s="87"/>
      <c r="P7" s="87"/>
      <c r="Q7" s="86"/>
      <c r="R7" s="87"/>
      <c r="S7" s="87"/>
      <c r="T7" s="87"/>
      <c r="U7" s="87"/>
      <c r="V7" s="87"/>
      <c r="W7" s="87"/>
      <c r="X7" s="86"/>
      <c r="Y7" s="87"/>
      <c r="Z7" s="87"/>
      <c r="AA7" s="87"/>
      <c r="AB7" s="87"/>
      <c r="AC7" s="87"/>
      <c r="AD7" s="87"/>
      <c r="AE7" s="86"/>
      <c r="AF7" s="87"/>
      <c r="AG7" s="87"/>
      <c r="AH7" s="87"/>
      <c r="AI7" s="88"/>
      <c r="AJ7" s="88"/>
      <c r="AK7" s="89"/>
      <c r="AL7" s="90">
        <f>SUM(G7:AK7)</f>
        <v>0</v>
      </c>
    </row>
    <row r="8" spans="1:39" s="75" customFormat="1" ht="14.25" x14ac:dyDescent="0.45">
      <c r="A8" s="76"/>
      <c r="B8" s="76"/>
      <c r="C8" s="76"/>
      <c r="D8" s="76"/>
      <c r="E8" s="76"/>
      <c r="F8" s="85" t="str">
        <f>IFERROR(VLOOKUP(D8,[1]Data!$A$2:$B$22,2,FALSE),"")</f>
        <v/>
      </c>
      <c r="G8" s="86"/>
      <c r="H8" s="87"/>
      <c r="I8" s="87"/>
      <c r="J8" s="86"/>
      <c r="K8" s="87"/>
      <c r="L8" s="87"/>
      <c r="M8" s="87"/>
      <c r="N8" s="87"/>
      <c r="O8" s="87"/>
      <c r="P8" s="87"/>
      <c r="Q8" s="86"/>
      <c r="R8" s="87"/>
      <c r="S8" s="87"/>
      <c r="T8" s="87"/>
      <c r="U8" s="87"/>
      <c r="V8" s="87"/>
      <c r="W8" s="87"/>
      <c r="X8" s="86"/>
      <c r="Y8" s="87"/>
      <c r="Z8" s="87"/>
      <c r="AA8" s="87"/>
      <c r="AB8" s="87"/>
      <c r="AC8" s="87"/>
      <c r="AD8" s="87"/>
      <c r="AE8" s="86"/>
      <c r="AF8" s="87"/>
      <c r="AG8" s="87"/>
      <c r="AH8" s="87"/>
      <c r="AI8" s="88"/>
      <c r="AJ8" s="88"/>
      <c r="AK8" s="89"/>
      <c r="AL8" s="90">
        <f t="shared" ref="AL8:AL73" si="0">SUM(G8:AK8)</f>
        <v>0</v>
      </c>
    </row>
    <row r="9" spans="1:39" s="75" customFormat="1" ht="14.25" x14ac:dyDescent="0.45">
      <c r="A9" s="76"/>
      <c r="B9" s="76"/>
      <c r="C9" s="76"/>
      <c r="D9" s="76"/>
      <c r="E9" s="76"/>
      <c r="F9" s="85" t="str">
        <f>IFERROR(VLOOKUP(D9,[1]Data!$A$2:$B$22,2,FALSE),"")</f>
        <v/>
      </c>
      <c r="G9" s="86"/>
      <c r="H9" s="87"/>
      <c r="I9" s="87"/>
      <c r="J9" s="86"/>
      <c r="K9" s="87"/>
      <c r="L9" s="87"/>
      <c r="M9" s="87"/>
      <c r="N9" s="87"/>
      <c r="O9" s="87"/>
      <c r="P9" s="87"/>
      <c r="Q9" s="86"/>
      <c r="R9" s="87"/>
      <c r="S9" s="87"/>
      <c r="T9" s="87"/>
      <c r="U9" s="87"/>
      <c r="V9" s="87"/>
      <c r="W9" s="87"/>
      <c r="X9" s="86"/>
      <c r="Y9" s="87"/>
      <c r="Z9" s="87"/>
      <c r="AA9" s="87"/>
      <c r="AB9" s="87"/>
      <c r="AC9" s="87"/>
      <c r="AD9" s="87"/>
      <c r="AE9" s="86"/>
      <c r="AF9" s="87"/>
      <c r="AG9" s="87"/>
      <c r="AH9" s="87"/>
      <c r="AI9" s="88"/>
      <c r="AJ9" s="88"/>
      <c r="AK9" s="89"/>
      <c r="AL9" s="90">
        <f t="shared" si="0"/>
        <v>0</v>
      </c>
    </row>
    <row r="10" spans="1:39" s="75" customFormat="1" ht="14.25" x14ac:dyDescent="0.45">
      <c r="A10" s="76"/>
      <c r="B10" s="76"/>
      <c r="C10" s="76"/>
      <c r="D10" s="76"/>
      <c r="E10" s="76"/>
      <c r="F10" s="85" t="str">
        <f>IFERROR(VLOOKUP(D10,[1]Data!$A$2:$B$22,2,FALSE),"")</f>
        <v/>
      </c>
      <c r="G10" s="86"/>
      <c r="H10" s="87"/>
      <c r="I10" s="87"/>
      <c r="J10" s="86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6"/>
      <c r="AB10" s="87"/>
      <c r="AC10" s="87"/>
      <c r="AD10" s="87"/>
      <c r="AE10" s="87"/>
      <c r="AF10" s="87"/>
      <c r="AG10" s="87"/>
      <c r="AH10" s="87"/>
      <c r="AI10" s="88"/>
      <c r="AJ10" s="88"/>
      <c r="AK10" s="89"/>
      <c r="AL10" s="90">
        <f t="shared" si="0"/>
        <v>0</v>
      </c>
    </row>
    <row r="11" spans="1:39" s="75" customFormat="1" ht="14.25" x14ac:dyDescent="0.45">
      <c r="A11" s="76"/>
      <c r="B11" s="76"/>
      <c r="C11" s="76"/>
      <c r="D11" s="76"/>
      <c r="E11" s="76"/>
      <c r="F11" s="85" t="str">
        <f>IFERROR(VLOOKUP(D11,[1]Data!$A$2:$B$22,2,FALSE),"")</f>
        <v/>
      </c>
      <c r="G11" s="86"/>
      <c r="H11" s="87"/>
      <c r="I11" s="87"/>
      <c r="J11" s="86"/>
      <c r="K11" s="87"/>
      <c r="L11" s="87"/>
      <c r="M11" s="87"/>
      <c r="N11" s="87"/>
      <c r="O11" s="87"/>
      <c r="P11" s="87"/>
      <c r="Q11" s="86"/>
      <c r="R11" s="87"/>
      <c r="S11" s="87"/>
      <c r="T11" s="87"/>
      <c r="U11" s="87"/>
      <c r="V11" s="87"/>
      <c r="W11" s="87"/>
      <c r="X11" s="86"/>
      <c r="Y11" s="87"/>
      <c r="Z11" s="87"/>
      <c r="AA11" s="87"/>
      <c r="AB11" s="87"/>
      <c r="AC11" s="87"/>
      <c r="AD11" s="87"/>
      <c r="AE11" s="86"/>
      <c r="AF11" s="87"/>
      <c r="AG11" s="87"/>
      <c r="AH11" s="87"/>
      <c r="AI11" s="88"/>
      <c r="AJ11" s="88"/>
      <c r="AK11" s="89"/>
      <c r="AL11" s="90">
        <f t="shared" si="0"/>
        <v>0</v>
      </c>
    </row>
    <row r="12" spans="1:39" s="75" customFormat="1" ht="14.25" x14ac:dyDescent="0.45">
      <c r="A12" s="76"/>
      <c r="B12" s="76"/>
      <c r="C12" s="76"/>
      <c r="D12" s="76"/>
      <c r="E12" s="76"/>
      <c r="F12" s="85" t="str">
        <f>IFERROR(VLOOKUP(D12,[1]Data!$A$2:$B$22,2,FALSE),"")</f>
        <v/>
      </c>
      <c r="G12" s="86"/>
      <c r="H12" s="87"/>
      <c r="I12" s="87"/>
      <c r="J12" s="86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6"/>
      <c r="AB12" s="87"/>
      <c r="AC12" s="87"/>
      <c r="AD12" s="87"/>
      <c r="AE12" s="87"/>
      <c r="AF12" s="87"/>
      <c r="AG12" s="87"/>
      <c r="AH12" s="87"/>
      <c r="AI12" s="88"/>
      <c r="AJ12" s="88"/>
      <c r="AK12" s="89"/>
      <c r="AL12" s="90">
        <f t="shared" si="0"/>
        <v>0</v>
      </c>
    </row>
    <row r="13" spans="1:39" s="75" customFormat="1" ht="14.25" x14ac:dyDescent="0.45">
      <c r="A13" s="76"/>
      <c r="B13" s="76"/>
      <c r="C13" s="76"/>
      <c r="D13" s="76"/>
      <c r="E13" s="76"/>
      <c r="F13" s="85" t="str">
        <f>IFERROR(VLOOKUP(D13,[1]Data!$A$2:$B$22,2,FALSE),"")</f>
        <v/>
      </c>
      <c r="G13" s="86"/>
      <c r="H13" s="87"/>
      <c r="I13" s="87"/>
      <c r="J13" s="86"/>
      <c r="K13" s="87"/>
      <c r="L13" s="87"/>
      <c r="M13" s="87"/>
      <c r="N13" s="87"/>
      <c r="O13" s="87"/>
      <c r="P13" s="87"/>
      <c r="Q13" s="86"/>
      <c r="R13" s="87"/>
      <c r="S13" s="87"/>
      <c r="T13" s="87"/>
      <c r="U13" s="87"/>
      <c r="V13" s="87"/>
      <c r="W13" s="87"/>
      <c r="X13" s="86"/>
      <c r="Y13" s="87"/>
      <c r="Z13" s="87"/>
      <c r="AA13" s="87"/>
      <c r="AB13" s="87"/>
      <c r="AC13" s="87"/>
      <c r="AD13" s="87"/>
      <c r="AE13" s="86"/>
      <c r="AF13" s="87"/>
      <c r="AG13" s="87"/>
      <c r="AH13" s="87"/>
      <c r="AI13" s="88"/>
      <c r="AJ13" s="88"/>
      <c r="AK13" s="89"/>
      <c r="AL13" s="90">
        <f t="shared" si="0"/>
        <v>0</v>
      </c>
      <c r="AM13" s="75" t="s">
        <v>17</v>
      </c>
    </row>
    <row r="14" spans="1:39" s="75" customFormat="1" ht="14.25" x14ac:dyDescent="0.45">
      <c r="A14" s="76"/>
      <c r="B14" s="76"/>
      <c r="C14" s="76"/>
      <c r="D14" s="76"/>
      <c r="E14" s="76"/>
      <c r="F14" s="85" t="str">
        <f>IFERROR(VLOOKUP(D14,[1]Data!$A$2:$B$22,2,FALSE),"")</f>
        <v/>
      </c>
      <c r="G14" s="86"/>
      <c r="H14" s="87"/>
      <c r="I14" s="87"/>
      <c r="J14" s="86"/>
      <c r="K14" s="87"/>
      <c r="L14" s="87"/>
      <c r="M14" s="87"/>
      <c r="N14" s="87"/>
      <c r="O14" s="87"/>
      <c r="P14" s="87"/>
      <c r="Q14" s="86"/>
      <c r="R14" s="87"/>
      <c r="S14" s="87"/>
      <c r="T14" s="87"/>
      <c r="U14" s="87"/>
      <c r="V14" s="87"/>
      <c r="W14" s="87"/>
      <c r="X14" s="86"/>
      <c r="Y14" s="87"/>
      <c r="Z14" s="87"/>
      <c r="AA14" s="86"/>
      <c r="AB14" s="87"/>
      <c r="AC14" s="87"/>
      <c r="AD14" s="87"/>
      <c r="AE14" s="86"/>
      <c r="AF14" s="87"/>
      <c r="AG14" s="87"/>
      <c r="AH14" s="87"/>
      <c r="AI14" s="88"/>
      <c r="AJ14" s="88"/>
      <c r="AK14" s="89"/>
      <c r="AL14" s="90">
        <f t="shared" si="0"/>
        <v>0</v>
      </c>
    </row>
    <row r="15" spans="1:39" s="75" customFormat="1" ht="14.25" x14ac:dyDescent="0.45">
      <c r="A15" s="76"/>
      <c r="B15" s="76"/>
      <c r="C15" s="76"/>
      <c r="D15" s="76"/>
      <c r="E15" s="76"/>
      <c r="F15" s="85" t="str">
        <f>IFERROR(VLOOKUP(D15,[1]Data!$A$2:$B$22,2,FALSE),"")</f>
        <v/>
      </c>
      <c r="G15" s="86"/>
      <c r="H15" s="87"/>
      <c r="I15" s="87"/>
      <c r="J15" s="86"/>
      <c r="K15" s="87"/>
      <c r="L15" s="87"/>
      <c r="M15" s="87"/>
      <c r="N15" s="87"/>
      <c r="O15" s="87"/>
      <c r="P15" s="87"/>
      <c r="Q15" s="86"/>
      <c r="R15" s="87"/>
      <c r="S15" s="87"/>
      <c r="T15" s="87"/>
      <c r="U15" s="87"/>
      <c r="V15" s="87"/>
      <c r="W15" s="87"/>
      <c r="X15" s="86"/>
      <c r="Y15" s="87"/>
      <c r="Z15" s="87"/>
      <c r="AA15" s="87"/>
      <c r="AB15" s="87"/>
      <c r="AC15" s="87"/>
      <c r="AD15" s="87"/>
      <c r="AE15" s="86"/>
      <c r="AF15" s="87"/>
      <c r="AG15" s="87"/>
      <c r="AH15" s="87"/>
      <c r="AI15" s="88"/>
      <c r="AJ15" s="88"/>
      <c r="AK15" s="89"/>
      <c r="AL15" s="90">
        <f t="shared" si="0"/>
        <v>0</v>
      </c>
    </row>
    <row r="16" spans="1:39" s="75" customFormat="1" ht="14.25" x14ac:dyDescent="0.45">
      <c r="A16" s="76"/>
      <c r="B16" s="76"/>
      <c r="C16" s="76"/>
      <c r="D16" s="76"/>
      <c r="E16" s="76"/>
      <c r="F16" s="85" t="str">
        <f>IFERROR(VLOOKUP(D16,[1]Data!$A$2:$B$22,2,FALSE),"")</f>
        <v/>
      </c>
      <c r="G16" s="86"/>
      <c r="H16" s="87"/>
      <c r="I16" s="86"/>
      <c r="J16" s="86"/>
      <c r="K16" s="87"/>
      <c r="L16" s="87"/>
      <c r="M16" s="87"/>
      <c r="N16" s="87"/>
      <c r="O16" s="87"/>
      <c r="P16" s="86"/>
      <c r="Q16" s="87"/>
      <c r="R16" s="87"/>
      <c r="S16" s="87"/>
      <c r="T16" s="87"/>
      <c r="U16" s="87"/>
      <c r="V16" s="87"/>
      <c r="W16" s="86"/>
      <c r="X16" s="87"/>
      <c r="Y16" s="87"/>
      <c r="Z16" s="87"/>
      <c r="AA16" s="86"/>
      <c r="AB16" s="87"/>
      <c r="AC16" s="87"/>
      <c r="AD16" s="86"/>
      <c r="AE16" s="86"/>
      <c r="AF16" s="86"/>
      <c r="AG16" s="87"/>
      <c r="AH16" s="87"/>
      <c r="AI16" s="88"/>
      <c r="AJ16" s="88"/>
      <c r="AK16" s="89"/>
      <c r="AL16" s="90">
        <f t="shared" si="0"/>
        <v>0</v>
      </c>
    </row>
    <row r="17" spans="1:40" s="75" customFormat="1" ht="14.25" x14ac:dyDescent="0.45">
      <c r="A17" s="76"/>
      <c r="B17" s="76"/>
      <c r="C17" s="76"/>
      <c r="D17" s="76"/>
      <c r="E17" s="76"/>
      <c r="F17" s="85" t="str">
        <f>IFERROR(VLOOKUP(D17,[1]Data!$A$2:$B$22,2,FALSE),"")</f>
        <v/>
      </c>
      <c r="G17" s="86"/>
      <c r="H17" s="87"/>
      <c r="I17" s="87"/>
      <c r="J17" s="86"/>
      <c r="K17" s="87"/>
      <c r="L17" s="87"/>
      <c r="M17" s="87"/>
      <c r="N17" s="87"/>
      <c r="O17" s="87"/>
      <c r="P17" s="87"/>
      <c r="Q17" s="86"/>
      <c r="R17" s="87"/>
      <c r="S17" s="87"/>
      <c r="T17" s="87"/>
      <c r="U17" s="87"/>
      <c r="V17" s="87"/>
      <c r="W17" s="87"/>
      <c r="X17" s="86"/>
      <c r="Y17" s="87"/>
      <c r="Z17" s="87"/>
      <c r="AA17" s="87"/>
      <c r="AB17" s="87"/>
      <c r="AC17" s="87"/>
      <c r="AD17" s="87"/>
      <c r="AE17" s="86"/>
      <c r="AF17" s="87"/>
      <c r="AG17" s="87"/>
      <c r="AH17" s="87"/>
      <c r="AI17" s="88"/>
      <c r="AJ17" s="88"/>
      <c r="AK17" s="89"/>
      <c r="AL17" s="90">
        <f t="shared" si="0"/>
        <v>0</v>
      </c>
    </row>
    <row r="18" spans="1:40" s="75" customFormat="1" ht="14.25" x14ac:dyDescent="0.45">
      <c r="A18" s="76"/>
      <c r="B18" s="76"/>
      <c r="C18" s="76"/>
      <c r="D18" s="76"/>
      <c r="E18" s="76"/>
      <c r="F18" s="85" t="str">
        <f>IFERROR(VLOOKUP(D18,[1]Data!$A$2:$B$22,2,FALSE),"")</f>
        <v/>
      </c>
      <c r="G18" s="86"/>
      <c r="H18" s="87"/>
      <c r="I18" s="87"/>
      <c r="J18" s="86"/>
      <c r="K18" s="87"/>
      <c r="L18" s="87"/>
      <c r="M18" s="87"/>
      <c r="N18" s="87"/>
      <c r="O18" s="87"/>
      <c r="P18" s="87"/>
      <c r="Q18" s="86"/>
      <c r="R18" s="87"/>
      <c r="S18" s="87"/>
      <c r="T18" s="87"/>
      <c r="U18" s="87"/>
      <c r="V18" s="87"/>
      <c r="W18" s="87"/>
      <c r="X18" s="86"/>
      <c r="Y18" s="87"/>
      <c r="Z18" s="87"/>
      <c r="AA18" s="86"/>
      <c r="AB18" s="87"/>
      <c r="AC18" s="87"/>
      <c r="AD18" s="86"/>
      <c r="AE18" s="86"/>
      <c r="AF18" s="86"/>
      <c r="AG18" s="87"/>
      <c r="AH18" s="87"/>
      <c r="AI18" s="88"/>
      <c r="AJ18" s="88"/>
      <c r="AK18" s="89"/>
      <c r="AL18" s="90">
        <f t="shared" si="0"/>
        <v>0</v>
      </c>
    </row>
    <row r="19" spans="1:40" s="75" customFormat="1" ht="14.25" x14ac:dyDescent="0.45">
      <c r="A19" s="76"/>
      <c r="B19" s="76"/>
      <c r="C19" s="76"/>
      <c r="D19" s="76"/>
      <c r="E19" s="76"/>
      <c r="F19" s="85" t="str">
        <f>IFERROR(VLOOKUP(D19,[1]Data!$A$2:$B$22,2,FALSE),"")</f>
        <v/>
      </c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8"/>
      <c r="AJ19" s="88"/>
      <c r="AK19" s="89"/>
      <c r="AL19" s="90">
        <f t="shared" si="0"/>
        <v>0</v>
      </c>
    </row>
    <row r="20" spans="1:40" s="75" customFormat="1" ht="14.25" x14ac:dyDescent="0.45">
      <c r="A20" s="76"/>
      <c r="B20" s="76"/>
      <c r="C20" s="76"/>
      <c r="D20" s="76"/>
      <c r="E20" s="76"/>
      <c r="F20" s="85" t="str">
        <f>IFERROR(VLOOKUP(D20,[1]Data!$A$2:$B$22,2,FALSE),"")</f>
        <v/>
      </c>
      <c r="G20" s="86"/>
      <c r="H20" s="87"/>
      <c r="I20" s="87"/>
      <c r="J20" s="86"/>
      <c r="K20" s="87"/>
      <c r="L20" s="87"/>
      <c r="M20" s="87"/>
      <c r="N20" s="87"/>
      <c r="O20" s="87"/>
      <c r="P20" s="87"/>
      <c r="Q20" s="86"/>
      <c r="R20" s="87"/>
      <c r="S20" s="87"/>
      <c r="T20" s="87"/>
      <c r="U20" s="87"/>
      <c r="V20" s="87"/>
      <c r="W20" s="87"/>
      <c r="X20" s="86"/>
      <c r="Y20" s="87"/>
      <c r="Z20" s="87"/>
      <c r="AA20" s="87"/>
      <c r="AB20" s="87"/>
      <c r="AC20" s="87"/>
      <c r="AD20" s="87"/>
      <c r="AE20" s="86"/>
      <c r="AF20" s="87"/>
      <c r="AG20" s="87"/>
      <c r="AH20" s="87"/>
      <c r="AI20" s="88"/>
      <c r="AJ20" s="88"/>
      <c r="AK20" s="89"/>
      <c r="AL20" s="90">
        <f t="shared" si="0"/>
        <v>0</v>
      </c>
    </row>
    <row r="21" spans="1:40" s="75" customFormat="1" ht="14.25" x14ac:dyDescent="0.45">
      <c r="A21" s="76"/>
      <c r="B21" s="76"/>
      <c r="C21" s="76"/>
      <c r="D21" s="76"/>
      <c r="E21" s="76"/>
      <c r="F21" s="85" t="str">
        <f>IFERROR(VLOOKUP(D21,[1]Data!$A$2:$B$22,2,FALSE),"")</f>
        <v/>
      </c>
      <c r="G21" s="86"/>
      <c r="H21" s="87"/>
      <c r="I21" s="87"/>
      <c r="J21" s="86"/>
      <c r="K21" s="87"/>
      <c r="L21" s="86"/>
      <c r="M21" s="87"/>
      <c r="N21" s="87"/>
      <c r="O21" s="87"/>
      <c r="P21" s="87"/>
      <c r="Q21" s="86"/>
      <c r="R21" s="87"/>
      <c r="S21" s="86"/>
      <c r="T21" s="87"/>
      <c r="U21" s="87"/>
      <c r="V21" s="87"/>
      <c r="W21" s="87"/>
      <c r="X21" s="86"/>
      <c r="Y21" s="87"/>
      <c r="Z21" s="86"/>
      <c r="AA21" s="86"/>
      <c r="AB21" s="87"/>
      <c r="AC21" s="87"/>
      <c r="AD21" s="86"/>
      <c r="AE21" s="86"/>
      <c r="AF21" s="86"/>
      <c r="AG21" s="86"/>
      <c r="AH21" s="87"/>
      <c r="AI21" s="88"/>
      <c r="AJ21" s="88"/>
      <c r="AK21" s="89"/>
      <c r="AL21" s="90">
        <f t="shared" si="0"/>
        <v>0</v>
      </c>
    </row>
    <row r="22" spans="1:40" s="75" customFormat="1" ht="14.25" x14ac:dyDescent="0.45">
      <c r="A22" s="76"/>
      <c r="B22" s="76"/>
      <c r="C22" s="76"/>
      <c r="D22" s="76"/>
      <c r="E22" s="76"/>
      <c r="F22" s="85" t="str">
        <f>IFERROR(VLOOKUP(D22,[1]Data!$A$2:$B$22,2,FALSE),"")</f>
        <v/>
      </c>
      <c r="G22" s="86"/>
      <c r="H22" s="87"/>
      <c r="I22" s="87"/>
      <c r="J22" s="86"/>
      <c r="K22" s="87"/>
      <c r="L22" s="87"/>
      <c r="M22" s="87"/>
      <c r="N22" s="87"/>
      <c r="O22" s="87"/>
      <c r="P22" s="87"/>
      <c r="Q22" s="86"/>
      <c r="R22" s="87"/>
      <c r="S22" s="87"/>
      <c r="T22" s="87"/>
      <c r="U22" s="87"/>
      <c r="V22" s="87"/>
      <c r="W22" s="87"/>
      <c r="X22" s="86"/>
      <c r="Y22" s="87"/>
      <c r="Z22" s="87"/>
      <c r="AA22" s="87"/>
      <c r="AB22" s="87"/>
      <c r="AC22" s="87"/>
      <c r="AD22" s="87"/>
      <c r="AE22" s="86"/>
      <c r="AF22" s="87"/>
      <c r="AG22" s="87"/>
      <c r="AH22" s="87"/>
      <c r="AI22" s="88"/>
      <c r="AJ22" s="88"/>
      <c r="AK22" s="89"/>
      <c r="AL22" s="90">
        <f t="shared" si="0"/>
        <v>0</v>
      </c>
    </row>
    <row r="23" spans="1:40" s="75" customFormat="1" ht="14.25" x14ac:dyDescent="0.45">
      <c r="A23" s="76"/>
      <c r="B23" s="76"/>
      <c r="C23" s="76"/>
      <c r="D23" s="76"/>
      <c r="E23" s="76"/>
      <c r="F23" s="85" t="str">
        <f>IFERROR(VLOOKUP(D23,[1]Data!$A$2:$B$22,2,FALSE),"")</f>
        <v/>
      </c>
      <c r="G23" s="86"/>
      <c r="H23" s="87"/>
      <c r="I23" s="87"/>
      <c r="J23" s="86"/>
      <c r="K23" s="86"/>
      <c r="L23" s="87"/>
      <c r="M23" s="87"/>
      <c r="N23" s="87"/>
      <c r="O23" s="87"/>
      <c r="P23" s="87"/>
      <c r="Q23" s="86"/>
      <c r="R23" s="86"/>
      <c r="S23" s="87"/>
      <c r="T23" s="87"/>
      <c r="U23" s="87"/>
      <c r="V23" s="87"/>
      <c r="W23" s="87"/>
      <c r="X23" s="86"/>
      <c r="Y23" s="86"/>
      <c r="Z23" s="87"/>
      <c r="AA23" s="86"/>
      <c r="AB23" s="87"/>
      <c r="AC23" s="87"/>
      <c r="AD23" s="86"/>
      <c r="AE23" s="86"/>
      <c r="AF23" s="86"/>
      <c r="AG23" s="87"/>
      <c r="AH23" s="87"/>
      <c r="AI23" s="88"/>
      <c r="AJ23" s="88"/>
      <c r="AK23" s="89"/>
      <c r="AL23" s="90">
        <f t="shared" si="0"/>
        <v>0</v>
      </c>
    </row>
    <row r="24" spans="1:40" s="75" customFormat="1" ht="14.25" x14ac:dyDescent="0.45">
      <c r="A24" s="76"/>
      <c r="B24" s="76"/>
      <c r="C24" s="76"/>
      <c r="D24" s="76"/>
      <c r="E24" s="76"/>
      <c r="F24" s="85" t="str">
        <f>IFERROR(VLOOKUP(D24,[1]Data!$A$2:$B$22,2,FALSE),"")</f>
        <v/>
      </c>
      <c r="G24" s="86"/>
      <c r="H24" s="87"/>
      <c r="I24" s="87"/>
      <c r="J24" s="86"/>
      <c r="K24" s="87"/>
      <c r="L24" s="87"/>
      <c r="M24" s="87"/>
      <c r="N24" s="87"/>
      <c r="O24" s="87"/>
      <c r="P24" s="87"/>
      <c r="Q24" s="86"/>
      <c r="R24" s="87"/>
      <c r="S24" s="87"/>
      <c r="T24" s="87"/>
      <c r="U24" s="87"/>
      <c r="V24" s="87"/>
      <c r="W24" s="87"/>
      <c r="X24" s="86"/>
      <c r="Y24" s="87"/>
      <c r="Z24" s="87"/>
      <c r="AA24" s="87"/>
      <c r="AB24" s="87"/>
      <c r="AC24" s="87"/>
      <c r="AD24" s="87"/>
      <c r="AE24" s="86"/>
      <c r="AF24" s="87"/>
      <c r="AG24" s="87"/>
      <c r="AH24" s="87"/>
      <c r="AI24" s="88"/>
      <c r="AJ24" s="88"/>
      <c r="AK24" s="89"/>
      <c r="AL24" s="90">
        <f t="shared" si="0"/>
        <v>0</v>
      </c>
      <c r="AM24" s="91"/>
      <c r="AN24" s="91"/>
    </row>
    <row r="25" spans="1:40" s="75" customFormat="1" ht="14.25" x14ac:dyDescent="0.45">
      <c r="A25" s="76"/>
      <c r="B25" s="76"/>
      <c r="C25" s="76"/>
      <c r="D25" s="76"/>
      <c r="E25" s="76"/>
      <c r="F25" s="85" t="str">
        <f>IFERROR(VLOOKUP(D25,[1]Data!$A$2:$B$22,2,FALSE),"")</f>
        <v/>
      </c>
      <c r="G25" s="86"/>
      <c r="H25" s="87"/>
      <c r="I25" s="87"/>
      <c r="J25" s="86"/>
      <c r="K25" s="86"/>
      <c r="L25" s="87"/>
      <c r="M25" s="87"/>
      <c r="N25" s="87"/>
      <c r="O25" s="87"/>
      <c r="P25" s="87"/>
      <c r="Q25" s="87"/>
      <c r="R25" s="86"/>
      <c r="S25" s="87"/>
      <c r="T25" s="87"/>
      <c r="U25" s="87"/>
      <c r="V25" s="87"/>
      <c r="W25" s="87"/>
      <c r="X25" s="87"/>
      <c r="Y25" s="86"/>
      <c r="Z25" s="87"/>
      <c r="AA25" s="86"/>
      <c r="AB25" s="87"/>
      <c r="AC25" s="87"/>
      <c r="AD25" s="86"/>
      <c r="AE25" s="86"/>
      <c r="AF25" s="86"/>
      <c r="AG25" s="87"/>
      <c r="AH25" s="87"/>
      <c r="AI25" s="88"/>
      <c r="AJ25" s="88"/>
      <c r="AK25" s="89"/>
      <c r="AL25" s="90">
        <f t="shared" si="0"/>
        <v>0</v>
      </c>
      <c r="AM25" s="91"/>
      <c r="AN25" s="91"/>
    </row>
    <row r="26" spans="1:40" s="75" customFormat="1" ht="14.25" x14ac:dyDescent="0.45">
      <c r="A26" s="76"/>
      <c r="B26" s="76"/>
      <c r="C26" s="76"/>
      <c r="D26" s="76"/>
      <c r="E26" s="76"/>
      <c r="F26" s="85" t="str">
        <f>IFERROR(VLOOKUP(D26,[1]Data!$A$2:$B$22,2,FALSE),"")</f>
        <v/>
      </c>
      <c r="G26" s="86"/>
      <c r="H26" s="87"/>
      <c r="I26" s="87"/>
      <c r="J26" s="86"/>
      <c r="K26" s="87"/>
      <c r="L26" s="87"/>
      <c r="M26" s="87"/>
      <c r="N26" s="86"/>
      <c r="O26" s="87"/>
      <c r="P26" s="87"/>
      <c r="Q26" s="86"/>
      <c r="R26" s="87"/>
      <c r="S26" s="87"/>
      <c r="T26" s="87"/>
      <c r="U26" s="86"/>
      <c r="V26" s="87"/>
      <c r="W26" s="87"/>
      <c r="X26" s="86"/>
      <c r="Y26" s="87"/>
      <c r="Z26" s="87"/>
      <c r="AA26" s="87"/>
      <c r="AB26" s="86"/>
      <c r="AC26" s="87"/>
      <c r="AD26" s="87"/>
      <c r="AE26" s="86"/>
      <c r="AF26" s="87"/>
      <c r="AG26" s="87"/>
      <c r="AH26" s="87"/>
      <c r="AI26" s="88"/>
      <c r="AJ26" s="88"/>
      <c r="AK26" s="89"/>
      <c r="AL26" s="90">
        <f t="shared" si="0"/>
        <v>0</v>
      </c>
      <c r="AM26" s="91"/>
      <c r="AN26" s="91"/>
    </row>
    <row r="27" spans="1:40" s="75" customFormat="1" ht="14.25" x14ac:dyDescent="0.45">
      <c r="A27" s="76"/>
      <c r="B27" s="76"/>
      <c r="C27" s="76"/>
      <c r="D27" s="76"/>
      <c r="E27" s="76"/>
      <c r="F27" s="85" t="str">
        <f>IFERROR(VLOOKUP(D27,[1]Data!$A$2:$B$22,2,FALSE),"")</f>
        <v/>
      </c>
      <c r="G27" s="86"/>
      <c r="H27" s="87"/>
      <c r="I27" s="87"/>
      <c r="J27" s="86"/>
      <c r="K27" s="87"/>
      <c r="L27" s="87"/>
      <c r="M27" s="86"/>
      <c r="N27" s="87"/>
      <c r="O27" s="87"/>
      <c r="P27" s="87"/>
      <c r="Q27" s="87"/>
      <c r="R27" s="87"/>
      <c r="S27" s="87"/>
      <c r="T27" s="86"/>
      <c r="U27" s="87"/>
      <c r="V27" s="87"/>
      <c r="W27" s="87"/>
      <c r="X27" s="87"/>
      <c r="Y27" s="87"/>
      <c r="Z27" s="87"/>
      <c r="AA27" s="86"/>
      <c r="AB27" s="87"/>
      <c r="AC27" s="87"/>
      <c r="AD27" s="86"/>
      <c r="AE27" s="86"/>
      <c r="AF27" s="86"/>
      <c r="AG27" s="87"/>
      <c r="AH27" s="86"/>
      <c r="AI27" s="88"/>
      <c r="AJ27" s="88"/>
      <c r="AK27" s="89"/>
      <c r="AL27" s="90">
        <f t="shared" si="0"/>
        <v>0</v>
      </c>
      <c r="AM27" s="91"/>
      <c r="AN27" s="91"/>
    </row>
    <row r="28" spans="1:40" s="75" customFormat="1" ht="14.25" x14ac:dyDescent="0.45">
      <c r="A28" s="76"/>
      <c r="B28" s="76"/>
      <c r="C28" s="76"/>
      <c r="D28" s="76"/>
      <c r="E28" s="76"/>
      <c r="F28" s="85" t="str">
        <f>IFERROR(VLOOKUP(D28,[1]Data!$A$2:$B$22,2,FALSE),"")</f>
        <v/>
      </c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  <c r="AH28" s="87"/>
      <c r="AI28" s="88"/>
      <c r="AJ28" s="88"/>
      <c r="AK28" s="89"/>
      <c r="AL28" s="90">
        <f t="shared" si="0"/>
        <v>0</v>
      </c>
      <c r="AM28" s="91"/>
      <c r="AN28" s="91"/>
    </row>
    <row r="29" spans="1:40" s="75" customFormat="1" ht="14.25" x14ac:dyDescent="0.45">
      <c r="A29" s="76"/>
      <c r="B29" s="76"/>
      <c r="C29" s="76"/>
      <c r="D29" s="76"/>
      <c r="E29" s="76"/>
      <c r="F29" s="85" t="str">
        <f>IFERROR(VLOOKUP(D29,[1]Data!$A$2:$B$22,2,FALSE),"")</f>
        <v/>
      </c>
      <c r="G29" s="86"/>
      <c r="H29" s="87"/>
      <c r="I29" s="87"/>
      <c r="J29" s="87"/>
      <c r="K29" s="87"/>
      <c r="L29" s="87"/>
      <c r="M29" s="87"/>
      <c r="N29" s="86"/>
      <c r="O29" s="87"/>
      <c r="P29" s="87"/>
      <c r="Q29" s="87"/>
      <c r="R29" s="87"/>
      <c r="S29" s="87"/>
      <c r="T29" s="87"/>
      <c r="U29" s="86"/>
      <c r="V29" s="87"/>
      <c r="W29" s="87"/>
      <c r="X29" s="87"/>
      <c r="Y29" s="87"/>
      <c r="Z29" s="87"/>
      <c r="AA29" s="87"/>
      <c r="AB29" s="86"/>
      <c r="AC29" s="87"/>
      <c r="AD29" s="87"/>
      <c r="AE29" s="87"/>
      <c r="AF29" s="87"/>
      <c r="AG29" s="87"/>
      <c r="AH29" s="87"/>
      <c r="AI29" s="88"/>
      <c r="AJ29" s="88"/>
      <c r="AK29" s="89"/>
      <c r="AL29" s="90">
        <f t="shared" si="0"/>
        <v>0</v>
      </c>
      <c r="AM29" s="91"/>
      <c r="AN29" s="91"/>
    </row>
    <row r="30" spans="1:40" s="75" customFormat="1" ht="14.25" x14ac:dyDescent="0.45">
      <c r="A30" s="76"/>
      <c r="B30" s="76"/>
      <c r="C30" s="76"/>
      <c r="D30" s="76"/>
      <c r="E30" s="76"/>
      <c r="F30" s="85" t="str">
        <f>IFERROR(VLOOKUP(D30,[1]Data!$A$2:$B$22,2,FALSE),"")</f>
        <v/>
      </c>
      <c r="G30" s="86"/>
      <c r="H30" s="87"/>
      <c r="I30" s="87"/>
      <c r="J30" s="86"/>
      <c r="K30" s="87"/>
      <c r="L30" s="87"/>
      <c r="M30" s="87"/>
      <c r="N30" s="87"/>
      <c r="O30" s="87"/>
      <c r="P30" s="87"/>
      <c r="Q30" s="86"/>
      <c r="R30" s="87"/>
      <c r="S30" s="87"/>
      <c r="T30" s="87"/>
      <c r="U30" s="87"/>
      <c r="V30" s="87"/>
      <c r="W30" s="87"/>
      <c r="X30" s="86"/>
      <c r="Y30" s="87"/>
      <c r="Z30" s="87"/>
      <c r="AA30" s="87"/>
      <c r="AB30" s="87"/>
      <c r="AC30" s="87"/>
      <c r="AD30" s="87"/>
      <c r="AE30" s="86"/>
      <c r="AF30" s="87"/>
      <c r="AG30" s="87"/>
      <c r="AH30" s="87"/>
      <c r="AI30" s="88"/>
      <c r="AJ30" s="88"/>
      <c r="AK30" s="89"/>
      <c r="AL30" s="90">
        <f t="shared" si="0"/>
        <v>0</v>
      </c>
      <c r="AM30" s="91"/>
      <c r="AN30" s="91"/>
    </row>
    <row r="31" spans="1:40" s="75" customFormat="1" ht="14.25" x14ac:dyDescent="0.45">
      <c r="A31" s="76"/>
      <c r="B31" s="76"/>
      <c r="C31" s="76"/>
      <c r="D31" s="76"/>
      <c r="E31" s="76"/>
      <c r="F31" s="85" t="str">
        <f>IFERROR(VLOOKUP(D31,[1]Data!$A$2:$B$22,2,FALSE),"")</f>
        <v/>
      </c>
      <c r="G31" s="86"/>
      <c r="H31" s="87"/>
      <c r="I31" s="87"/>
      <c r="J31" s="86"/>
      <c r="K31" s="86"/>
      <c r="L31" s="87"/>
      <c r="M31" s="87"/>
      <c r="N31" s="87"/>
      <c r="O31" s="87"/>
      <c r="P31" s="87"/>
      <c r="Q31" s="87"/>
      <c r="R31" s="86"/>
      <c r="S31" s="87"/>
      <c r="T31" s="87"/>
      <c r="U31" s="87"/>
      <c r="V31" s="87"/>
      <c r="W31" s="87"/>
      <c r="X31" s="87"/>
      <c r="Y31" s="86"/>
      <c r="Z31" s="87"/>
      <c r="AA31" s="87"/>
      <c r="AB31" s="87"/>
      <c r="AC31" s="87"/>
      <c r="AD31" s="86"/>
      <c r="AE31" s="86"/>
      <c r="AF31" s="86"/>
      <c r="AG31" s="87"/>
      <c r="AH31" s="87"/>
      <c r="AI31" s="88"/>
      <c r="AJ31" s="88"/>
      <c r="AK31" s="89"/>
      <c r="AL31" s="90">
        <f t="shared" si="0"/>
        <v>0</v>
      </c>
      <c r="AM31" s="91"/>
      <c r="AN31" s="91"/>
    </row>
    <row r="32" spans="1:40" s="75" customFormat="1" ht="14.25" x14ac:dyDescent="0.45">
      <c r="A32" s="76"/>
      <c r="B32" s="76"/>
      <c r="C32" s="76"/>
      <c r="D32" s="76"/>
      <c r="E32" s="76"/>
      <c r="F32" s="85" t="str">
        <f>IFERROR(VLOOKUP(D32,[1]Data!$A$2:$B$22,2,FALSE),"")</f>
        <v/>
      </c>
      <c r="G32" s="86"/>
      <c r="H32" s="87"/>
      <c r="I32" s="87"/>
      <c r="J32" s="86"/>
      <c r="K32" s="87"/>
      <c r="L32" s="87"/>
      <c r="M32" s="87"/>
      <c r="N32" s="87"/>
      <c r="O32" s="87"/>
      <c r="P32" s="87"/>
      <c r="Q32" s="86"/>
      <c r="R32" s="87"/>
      <c r="S32" s="87"/>
      <c r="T32" s="87"/>
      <c r="U32" s="87"/>
      <c r="V32" s="87"/>
      <c r="W32" s="87"/>
      <c r="X32" s="86"/>
      <c r="Y32" s="87"/>
      <c r="Z32" s="87"/>
      <c r="AA32" s="87"/>
      <c r="AB32" s="87"/>
      <c r="AC32" s="87"/>
      <c r="AD32" s="87"/>
      <c r="AE32" s="86"/>
      <c r="AF32" s="87"/>
      <c r="AG32" s="87"/>
      <c r="AH32" s="87"/>
      <c r="AI32" s="88"/>
      <c r="AJ32" s="88"/>
      <c r="AK32" s="89"/>
      <c r="AL32" s="90">
        <f t="shared" si="0"/>
        <v>0</v>
      </c>
      <c r="AM32" s="91"/>
      <c r="AN32" s="91"/>
    </row>
    <row r="33" spans="1:40" s="75" customFormat="1" ht="14.25" x14ac:dyDescent="0.45">
      <c r="A33" s="76"/>
      <c r="B33" s="76"/>
      <c r="C33" s="76"/>
      <c r="D33" s="76"/>
      <c r="E33" s="76"/>
      <c r="F33" s="85" t="str">
        <f>IFERROR(VLOOKUP(D33,[1]Data!$A$2:$B$22,2,FALSE),"")</f>
        <v/>
      </c>
      <c r="G33" s="86"/>
      <c r="H33" s="87"/>
      <c r="I33" s="86"/>
      <c r="J33" s="86"/>
      <c r="K33" s="87"/>
      <c r="L33" s="87"/>
      <c r="M33" s="87"/>
      <c r="N33" s="87"/>
      <c r="O33" s="87"/>
      <c r="P33" s="86"/>
      <c r="Q33" s="87"/>
      <c r="R33" s="87"/>
      <c r="S33" s="87"/>
      <c r="T33" s="87"/>
      <c r="U33" s="87"/>
      <c r="V33" s="87"/>
      <c r="W33" s="86"/>
      <c r="X33" s="87"/>
      <c r="Y33" s="87"/>
      <c r="Z33" s="87"/>
      <c r="AA33" s="86"/>
      <c r="AB33" s="87"/>
      <c r="AC33" s="87"/>
      <c r="AD33" s="86"/>
      <c r="AE33" s="86"/>
      <c r="AF33" s="86"/>
      <c r="AG33" s="87"/>
      <c r="AH33" s="87"/>
      <c r="AI33" s="88"/>
      <c r="AJ33" s="88"/>
      <c r="AK33" s="89"/>
      <c r="AL33" s="90">
        <f t="shared" si="0"/>
        <v>0</v>
      </c>
      <c r="AM33" s="91"/>
      <c r="AN33" s="91"/>
    </row>
    <row r="34" spans="1:40" s="75" customFormat="1" ht="14.25" x14ac:dyDescent="0.45">
      <c r="A34" s="76"/>
      <c r="B34" s="76"/>
      <c r="C34" s="76"/>
      <c r="D34" s="76"/>
      <c r="E34" s="76"/>
      <c r="F34" s="85" t="str">
        <f>IFERROR(VLOOKUP(D34,[1]Data!$A$2:$B$22,2,FALSE),"")</f>
        <v/>
      </c>
      <c r="G34" s="86"/>
      <c r="H34" s="87"/>
      <c r="I34" s="87"/>
      <c r="J34" s="86"/>
      <c r="K34" s="87"/>
      <c r="L34" s="87"/>
      <c r="M34" s="87"/>
      <c r="N34" s="87"/>
      <c r="O34" s="87"/>
      <c r="P34" s="87"/>
      <c r="Q34" s="86"/>
      <c r="R34" s="87"/>
      <c r="S34" s="87"/>
      <c r="T34" s="87"/>
      <c r="U34" s="87"/>
      <c r="V34" s="87"/>
      <c r="W34" s="87"/>
      <c r="X34" s="86"/>
      <c r="Y34" s="87"/>
      <c r="Z34" s="87"/>
      <c r="AA34" s="87"/>
      <c r="AB34" s="87"/>
      <c r="AC34" s="87"/>
      <c r="AD34" s="87"/>
      <c r="AE34" s="86"/>
      <c r="AF34" s="87"/>
      <c r="AG34" s="87"/>
      <c r="AH34" s="87"/>
      <c r="AI34" s="88"/>
      <c r="AJ34" s="88"/>
      <c r="AK34" s="89"/>
      <c r="AL34" s="90">
        <f t="shared" si="0"/>
        <v>0</v>
      </c>
      <c r="AM34" s="91"/>
      <c r="AN34" s="91"/>
    </row>
    <row r="35" spans="1:40" s="75" customFormat="1" ht="14.25" x14ac:dyDescent="0.45">
      <c r="A35" s="76"/>
      <c r="B35" s="76"/>
      <c r="C35" s="76"/>
      <c r="D35" s="76"/>
      <c r="E35" s="76"/>
      <c r="F35" s="85" t="str">
        <f>IFERROR(VLOOKUP(D35,[1]Data!$A$2:$B$22,2,FALSE),"")</f>
        <v/>
      </c>
      <c r="G35" s="86"/>
      <c r="H35" s="87"/>
      <c r="I35" s="86"/>
      <c r="J35" s="86"/>
      <c r="K35" s="87"/>
      <c r="L35" s="87"/>
      <c r="M35" s="87"/>
      <c r="N35" s="87"/>
      <c r="O35" s="87"/>
      <c r="P35" s="86"/>
      <c r="Q35" s="87"/>
      <c r="R35" s="87"/>
      <c r="S35" s="87"/>
      <c r="T35" s="87"/>
      <c r="U35" s="87"/>
      <c r="V35" s="87"/>
      <c r="W35" s="86"/>
      <c r="X35" s="87"/>
      <c r="Y35" s="87"/>
      <c r="Z35" s="87"/>
      <c r="AA35" s="86"/>
      <c r="AB35" s="87"/>
      <c r="AC35" s="87"/>
      <c r="AD35" s="86"/>
      <c r="AE35" s="86"/>
      <c r="AF35" s="87"/>
      <c r="AG35" s="87"/>
      <c r="AH35" s="87"/>
      <c r="AI35" s="88"/>
      <c r="AJ35" s="88"/>
      <c r="AK35" s="89"/>
      <c r="AL35" s="90">
        <f t="shared" si="0"/>
        <v>0</v>
      </c>
      <c r="AM35" s="91"/>
      <c r="AN35" s="91"/>
    </row>
    <row r="36" spans="1:40" s="75" customFormat="1" ht="14.25" x14ac:dyDescent="0.45">
      <c r="A36" s="76"/>
      <c r="B36" s="76"/>
      <c r="C36" s="76"/>
      <c r="D36" s="76"/>
      <c r="E36" s="76"/>
      <c r="F36" s="85" t="str">
        <f>IFERROR(VLOOKUP(D36,[1]Data!$A$2:$B$22,2,FALSE),"")</f>
        <v/>
      </c>
      <c r="G36" s="86"/>
      <c r="H36" s="87"/>
      <c r="I36" s="87"/>
      <c r="J36" s="86"/>
      <c r="K36" s="87"/>
      <c r="L36" s="87"/>
      <c r="M36" s="87"/>
      <c r="N36" s="87"/>
      <c r="O36" s="87"/>
      <c r="P36" s="87"/>
      <c r="Q36" s="86"/>
      <c r="R36" s="87"/>
      <c r="S36" s="87"/>
      <c r="T36" s="87"/>
      <c r="U36" s="87"/>
      <c r="V36" s="87"/>
      <c r="W36" s="87"/>
      <c r="X36" s="86"/>
      <c r="Y36" s="87"/>
      <c r="Z36" s="87"/>
      <c r="AA36" s="87"/>
      <c r="AB36" s="87"/>
      <c r="AC36" s="87"/>
      <c r="AD36" s="87"/>
      <c r="AE36" s="86"/>
      <c r="AF36" s="87"/>
      <c r="AG36" s="87"/>
      <c r="AH36" s="87"/>
      <c r="AI36" s="88"/>
      <c r="AJ36" s="88"/>
      <c r="AK36" s="89"/>
      <c r="AL36" s="90">
        <f t="shared" si="0"/>
        <v>0</v>
      </c>
      <c r="AM36" s="91"/>
      <c r="AN36" s="91"/>
    </row>
    <row r="37" spans="1:40" s="75" customFormat="1" ht="14.25" x14ac:dyDescent="0.45">
      <c r="A37" s="76"/>
      <c r="B37" s="76"/>
      <c r="C37" s="76"/>
      <c r="D37" s="76"/>
      <c r="E37" s="76"/>
      <c r="F37" s="85" t="str">
        <f>IFERROR(VLOOKUP(D37,[1]Data!$A$2:$B$22,2,FALSE),"")</f>
        <v/>
      </c>
      <c r="G37" s="86"/>
      <c r="H37" s="87"/>
      <c r="I37" s="87"/>
      <c r="J37" s="86"/>
      <c r="K37" s="87"/>
      <c r="L37" s="86"/>
      <c r="M37" s="87"/>
      <c r="N37" s="87"/>
      <c r="O37" s="87"/>
      <c r="P37" s="87"/>
      <c r="Q37" s="87"/>
      <c r="R37" s="87"/>
      <c r="S37" s="86"/>
      <c r="T37" s="87"/>
      <c r="U37" s="87"/>
      <c r="V37" s="87"/>
      <c r="W37" s="87"/>
      <c r="X37" s="87"/>
      <c r="Y37" s="87"/>
      <c r="Z37" s="86"/>
      <c r="AA37" s="86"/>
      <c r="AB37" s="87"/>
      <c r="AC37" s="87"/>
      <c r="AD37" s="86"/>
      <c r="AE37" s="86"/>
      <c r="AF37" s="86"/>
      <c r="AG37" s="86"/>
      <c r="AH37" s="87"/>
      <c r="AI37" s="88"/>
      <c r="AJ37" s="88"/>
      <c r="AK37" s="89"/>
      <c r="AL37" s="90">
        <f t="shared" si="0"/>
        <v>0</v>
      </c>
      <c r="AM37" s="91"/>
      <c r="AN37" s="91"/>
    </row>
    <row r="38" spans="1:40" s="75" customFormat="1" ht="14.25" x14ac:dyDescent="0.45">
      <c r="A38" s="76"/>
      <c r="B38" s="76"/>
      <c r="C38" s="76"/>
      <c r="D38" s="76"/>
      <c r="E38" s="76"/>
      <c r="F38" s="85" t="str">
        <f>IFERROR(VLOOKUP(D38,[1]Data!$A$2:$B$22,2,FALSE),"")</f>
        <v/>
      </c>
      <c r="G38" s="86"/>
      <c r="H38" s="87"/>
      <c r="I38" s="87"/>
      <c r="J38" s="86"/>
      <c r="K38" s="87"/>
      <c r="L38" s="87"/>
      <c r="M38" s="87"/>
      <c r="N38" s="87"/>
      <c r="O38" s="87"/>
      <c r="P38" s="87"/>
      <c r="Q38" s="86"/>
      <c r="R38" s="87"/>
      <c r="S38" s="87"/>
      <c r="T38" s="87"/>
      <c r="U38" s="87"/>
      <c r="V38" s="87"/>
      <c r="W38" s="87"/>
      <c r="X38" s="86"/>
      <c r="Y38" s="87"/>
      <c r="Z38" s="87"/>
      <c r="AA38" s="87"/>
      <c r="AB38" s="87"/>
      <c r="AC38" s="87"/>
      <c r="AD38" s="87"/>
      <c r="AE38" s="86"/>
      <c r="AF38" s="87"/>
      <c r="AG38" s="87"/>
      <c r="AH38" s="87"/>
      <c r="AI38" s="88"/>
      <c r="AJ38" s="88"/>
      <c r="AK38" s="89"/>
      <c r="AL38" s="90">
        <f t="shared" si="0"/>
        <v>0</v>
      </c>
      <c r="AM38" s="91"/>
      <c r="AN38" s="91"/>
    </row>
    <row r="39" spans="1:40" s="75" customFormat="1" ht="14.25" x14ac:dyDescent="0.45">
      <c r="A39" s="76"/>
      <c r="B39" s="76"/>
      <c r="C39" s="76"/>
      <c r="D39" s="76"/>
      <c r="E39" s="76"/>
      <c r="F39" s="85" t="str">
        <f>IFERROR(VLOOKUP(D39,[1]Data!$A$2:$B$22,2,FALSE),"")</f>
        <v/>
      </c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8"/>
      <c r="AJ39" s="88"/>
      <c r="AK39" s="89"/>
      <c r="AL39" s="90">
        <f t="shared" si="0"/>
        <v>0</v>
      </c>
      <c r="AM39" s="91"/>
      <c r="AN39" s="91"/>
    </row>
    <row r="40" spans="1:40" s="75" customFormat="1" ht="14.25" x14ac:dyDescent="0.45">
      <c r="A40" s="76"/>
      <c r="B40" s="76"/>
      <c r="C40" s="76"/>
      <c r="D40" s="76"/>
      <c r="E40" s="76"/>
      <c r="F40" s="85" t="str">
        <f>IFERROR(VLOOKUP(D40,[1]Data!$A$2:$B$22,2,FALSE),"")</f>
        <v/>
      </c>
      <c r="G40" s="86"/>
      <c r="H40" s="87"/>
      <c r="I40" s="87"/>
      <c r="J40" s="86"/>
      <c r="K40" s="87"/>
      <c r="L40" s="86"/>
      <c r="M40" s="87"/>
      <c r="N40" s="87"/>
      <c r="O40" s="87"/>
      <c r="P40" s="87"/>
      <c r="Q40" s="87"/>
      <c r="R40" s="87"/>
      <c r="S40" s="86"/>
      <c r="T40" s="87"/>
      <c r="U40" s="87"/>
      <c r="V40" s="87"/>
      <c r="W40" s="87"/>
      <c r="X40" s="87"/>
      <c r="Y40" s="87"/>
      <c r="Z40" s="86"/>
      <c r="AA40" s="86"/>
      <c r="AB40" s="87"/>
      <c r="AC40" s="87"/>
      <c r="AD40" s="86"/>
      <c r="AE40" s="86"/>
      <c r="AF40" s="86"/>
      <c r="AG40" s="86"/>
      <c r="AH40" s="87"/>
      <c r="AI40" s="88"/>
      <c r="AJ40" s="88"/>
      <c r="AK40" s="89"/>
      <c r="AL40" s="90">
        <f t="shared" si="0"/>
        <v>0</v>
      </c>
      <c r="AM40" s="91"/>
      <c r="AN40" s="91"/>
    </row>
    <row r="41" spans="1:40" ht="14.25" x14ac:dyDescent="0.45">
      <c r="A41" s="76"/>
      <c r="B41" s="76"/>
      <c r="C41" s="76"/>
      <c r="D41" s="76"/>
      <c r="E41" s="76"/>
      <c r="F41" s="85" t="str">
        <f>IFERROR(VLOOKUP(D41,[1]Data!$A$2:$B$22,2,FALSE),"")</f>
        <v/>
      </c>
      <c r="G41" s="86"/>
      <c r="H41" s="87"/>
      <c r="I41" s="87"/>
      <c r="J41" s="86"/>
      <c r="K41" s="87"/>
      <c r="L41" s="87"/>
      <c r="M41" s="87"/>
      <c r="N41" s="87"/>
      <c r="O41" s="87"/>
      <c r="P41" s="87"/>
      <c r="Q41" s="86"/>
      <c r="R41" s="87"/>
      <c r="S41" s="87"/>
      <c r="T41" s="87"/>
      <c r="U41" s="87"/>
      <c r="V41" s="87"/>
      <c r="W41" s="87"/>
      <c r="X41" s="86"/>
      <c r="Y41" s="87"/>
      <c r="Z41" s="87"/>
      <c r="AA41" s="87"/>
      <c r="AB41" s="87"/>
      <c r="AC41" s="87"/>
      <c r="AD41" s="87"/>
      <c r="AE41" s="86"/>
      <c r="AF41" s="87"/>
      <c r="AG41" s="87"/>
      <c r="AH41" s="87"/>
      <c r="AI41" s="88"/>
      <c r="AJ41" s="88"/>
      <c r="AK41" s="89"/>
      <c r="AL41" s="90">
        <f t="shared" si="0"/>
        <v>0</v>
      </c>
    </row>
    <row r="42" spans="1:40" ht="14.25" x14ac:dyDescent="0.45">
      <c r="A42" s="76"/>
      <c r="B42" s="76"/>
      <c r="C42" s="76"/>
      <c r="D42" s="76"/>
      <c r="E42" s="76"/>
      <c r="F42" s="85" t="str">
        <f>IFERROR(VLOOKUP(D42,[1]Data!$A$2:$B$22,2,FALSE),"")</f>
        <v/>
      </c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8"/>
      <c r="AJ42" s="88"/>
      <c r="AK42" s="89"/>
      <c r="AL42" s="90">
        <f t="shared" si="0"/>
        <v>0</v>
      </c>
    </row>
    <row r="43" spans="1:40" ht="14.25" x14ac:dyDescent="0.45">
      <c r="A43" s="76"/>
      <c r="B43" s="76"/>
      <c r="C43" s="76"/>
      <c r="D43" s="76"/>
      <c r="E43" s="76"/>
      <c r="F43" s="85" t="str">
        <f>IFERROR(VLOOKUP(D43,[1]Data!$A$2:$B$22,2,FALSE),"")</f>
        <v/>
      </c>
      <c r="G43" s="86"/>
      <c r="H43" s="87"/>
      <c r="I43" s="87"/>
      <c r="J43" s="86"/>
      <c r="K43" s="87"/>
      <c r="L43" s="87"/>
      <c r="M43" s="87"/>
      <c r="N43" s="87"/>
      <c r="O43" s="87"/>
      <c r="P43" s="87"/>
      <c r="Q43" s="86"/>
      <c r="R43" s="87"/>
      <c r="S43" s="87"/>
      <c r="T43" s="87"/>
      <c r="U43" s="87"/>
      <c r="V43" s="87"/>
      <c r="W43" s="87"/>
      <c r="X43" s="86"/>
      <c r="Y43" s="87"/>
      <c r="Z43" s="87"/>
      <c r="AA43" s="87"/>
      <c r="AB43" s="87"/>
      <c r="AC43" s="87"/>
      <c r="AD43" s="87"/>
      <c r="AE43" s="86"/>
      <c r="AF43" s="87"/>
      <c r="AG43" s="87"/>
      <c r="AH43" s="87"/>
      <c r="AI43" s="88"/>
      <c r="AJ43" s="88"/>
      <c r="AK43" s="89"/>
      <c r="AL43" s="90">
        <f t="shared" si="0"/>
        <v>0</v>
      </c>
    </row>
    <row r="44" spans="1:40" ht="14.25" x14ac:dyDescent="0.45">
      <c r="A44" s="76"/>
      <c r="B44" s="76"/>
      <c r="C44" s="76"/>
      <c r="D44" s="76"/>
      <c r="E44" s="76"/>
      <c r="F44" s="85" t="str">
        <f>IFERROR(VLOOKUP(D44,[1]Data!$A$2:$B$22,2,FALSE),"")</f>
        <v/>
      </c>
      <c r="G44" s="86"/>
      <c r="H44" s="87"/>
      <c r="I44" s="87"/>
      <c r="J44" s="86"/>
      <c r="K44" s="87"/>
      <c r="L44" s="87"/>
      <c r="M44" s="87"/>
      <c r="N44" s="86"/>
      <c r="O44" s="87"/>
      <c r="P44" s="87"/>
      <c r="Q44" s="86"/>
      <c r="R44" s="87"/>
      <c r="S44" s="87"/>
      <c r="T44" s="87"/>
      <c r="U44" s="86"/>
      <c r="V44" s="87"/>
      <c r="W44" s="87"/>
      <c r="X44" s="86"/>
      <c r="Y44" s="87"/>
      <c r="Z44" s="87"/>
      <c r="AA44" s="86"/>
      <c r="AB44" s="86"/>
      <c r="AC44" s="87"/>
      <c r="AD44" s="86"/>
      <c r="AE44" s="86"/>
      <c r="AF44" s="86"/>
      <c r="AG44" s="87"/>
      <c r="AH44" s="87"/>
      <c r="AI44" s="88"/>
      <c r="AJ44" s="88"/>
      <c r="AK44" s="89"/>
      <c r="AL44" s="90">
        <f t="shared" si="0"/>
        <v>0</v>
      </c>
    </row>
    <row r="45" spans="1:40" ht="14.25" x14ac:dyDescent="0.45">
      <c r="A45" s="76"/>
      <c r="B45" s="76"/>
      <c r="C45" s="76"/>
      <c r="D45" s="76"/>
      <c r="E45" s="76"/>
      <c r="F45" s="85" t="str">
        <f>IFERROR(VLOOKUP(D45,[1]Data!$A$2:$B$22,2,FALSE),"")</f>
        <v/>
      </c>
      <c r="G45" s="86"/>
      <c r="H45" s="87"/>
      <c r="I45" s="87"/>
      <c r="J45" s="86"/>
      <c r="K45" s="87"/>
      <c r="L45" s="87"/>
      <c r="M45" s="87"/>
      <c r="N45" s="87"/>
      <c r="O45" s="87"/>
      <c r="P45" s="87"/>
      <c r="Q45" s="86"/>
      <c r="R45" s="87"/>
      <c r="S45" s="87"/>
      <c r="T45" s="87"/>
      <c r="U45" s="87"/>
      <c r="V45" s="87"/>
      <c r="W45" s="87"/>
      <c r="X45" s="86"/>
      <c r="Y45" s="87"/>
      <c r="Z45" s="87"/>
      <c r="AA45" s="87"/>
      <c r="AB45" s="87"/>
      <c r="AC45" s="87"/>
      <c r="AD45" s="87"/>
      <c r="AE45" s="86"/>
      <c r="AF45" s="87"/>
      <c r="AG45" s="87"/>
      <c r="AH45" s="87"/>
      <c r="AI45" s="88"/>
      <c r="AJ45" s="88"/>
      <c r="AK45" s="89"/>
      <c r="AL45" s="90">
        <f t="shared" si="0"/>
        <v>0</v>
      </c>
    </row>
    <row r="46" spans="1:40" ht="14.25" x14ac:dyDescent="0.45">
      <c r="A46" s="76"/>
      <c r="B46" s="76"/>
      <c r="C46" s="76"/>
      <c r="D46" s="76"/>
      <c r="E46" s="76"/>
      <c r="F46" s="85" t="str">
        <f>IFERROR(VLOOKUP(D46,[1]Data!$A$2:$B$22,2,FALSE),"")</f>
        <v/>
      </c>
      <c r="G46" s="86"/>
      <c r="H46" s="87"/>
      <c r="I46" s="87"/>
      <c r="J46" s="86"/>
      <c r="K46" s="87"/>
      <c r="L46" s="86"/>
      <c r="M46" s="87"/>
      <c r="N46" s="87"/>
      <c r="O46" s="87"/>
      <c r="P46" s="87"/>
      <c r="Q46" s="87"/>
      <c r="R46" s="87"/>
      <c r="S46" s="86"/>
      <c r="T46" s="87"/>
      <c r="U46" s="87"/>
      <c r="V46" s="87"/>
      <c r="W46" s="87"/>
      <c r="X46" s="87"/>
      <c r="Y46" s="87"/>
      <c r="Z46" s="86"/>
      <c r="AA46" s="86"/>
      <c r="AB46" s="87"/>
      <c r="AC46" s="87"/>
      <c r="AD46" s="86"/>
      <c r="AE46" s="86"/>
      <c r="AF46" s="86"/>
      <c r="AG46" s="86"/>
      <c r="AH46" s="87"/>
      <c r="AI46" s="88"/>
      <c r="AJ46" s="88"/>
      <c r="AK46" s="89"/>
      <c r="AL46" s="90">
        <f t="shared" si="0"/>
        <v>0</v>
      </c>
    </row>
    <row r="47" spans="1:40" ht="14.25" x14ac:dyDescent="0.45">
      <c r="A47" s="76"/>
      <c r="B47" s="76"/>
      <c r="C47" s="76"/>
      <c r="D47" s="76"/>
      <c r="E47" s="76"/>
      <c r="F47" s="85" t="str">
        <f>IFERROR(VLOOKUP(D47,[1]Data!$A$2:$B$22,2,FALSE),"")</f>
        <v/>
      </c>
      <c r="G47" s="86"/>
      <c r="H47" s="87"/>
      <c r="I47" s="87"/>
      <c r="J47" s="86"/>
      <c r="K47" s="87"/>
      <c r="L47" s="87"/>
      <c r="M47" s="87"/>
      <c r="N47" s="87"/>
      <c r="O47" s="87"/>
      <c r="P47" s="87"/>
      <c r="Q47" s="86"/>
      <c r="R47" s="87"/>
      <c r="S47" s="87"/>
      <c r="T47" s="87"/>
      <c r="U47" s="87"/>
      <c r="V47" s="87"/>
      <c r="W47" s="87"/>
      <c r="X47" s="86"/>
      <c r="Y47" s="87"/>
      <c r="Z47" s="87"/>
      <c r="AA47" s="87"/>
      <c r="AB47" s="87"/>
      <c r="AC47" s="87"/>
      <c r="AD47" s="87"/>
      <c r="AE47" s="86"/>
      <c r="AF47" s="87"/>
      <c r="AG47" s="87"/>
      <c r="AH47" s="87"/>
      <c r="AI47" s="88"/>
      <c r="AJ47" s="88"/>
      <c r="AK47" s="89"/>
      <c r="AL47" s="90">
        <f t="shared" si="0"/>
        <v>0</v>
      </c>
    </row>
    <row r="48" spans="1:40" ht="14.25" x14ac:dyDescent="0.45">
      <c r="A48" s="76"/>
      <c r="B48" s="76"/>
      <c r="C48" s="76"/>
      <c r="D48" s="76"/>
      <c r="E48" s="76"/>
      <c r="F48" s="85" t="str">
        <f>IFERROR(VLOOKUP(D48,[1]Data!$A$2:$B$22,2,FALSE),"")</f>
        <v/>
      </c>
      <c r="G48" s="86"/>
      <c r="H48" s="87"/>
      <c r="I48" s="87"/>
      <c r="J48" s="86"/>
      <c r="K48" s="87"/>
      <c r="L48" s="87"/>
      <c r="M48" s="87"/>
      <c r="N48" s="87"/>
      <c r="O48" s="87"/>
      <c r="P48" s="87"/>
      <c r="Q48" s="86"/>
      <c r="R48" s="87"/>
      <c r="S48" s="87"/>
      <c r="T48" s="87"/>
      <c r="U48" s="87"/>
      <c r="V48" s="87"/>
      <c r="W48" s="87"/>
      <c r="X48" s="86"/>
      <c r="Y48" s="87"/>
      <c r="Z48" s="87"/>
      <c r="AA48" s="87"/>
      <c r="AB48" s="87"/>
      <c r="AC48" s="87"/>
      <c r="AD48" s="86"/>
      <c r="AE48" s="86"/>
      <c r="AF48" s="86"/>
      <c r="AG48" s="87"/>
      <c r="AH48" s="87"/>
      <c r="AI48" s="88"/>
      <c r="AJ48" s="88"/>
      <c r="AK48" s="89"/>
      <c r="AL48" s="90">
        <f t="shared" si="0"/>
        <v>0</v>
      </c>
    </row>
    <row r="49" spans="1:38" ht="14.25" x14ac:dyDescent="0.45">
      <c r="A49" s="76"/>
      <c r="B49" s="76"/>
      <c r="C49" s="76"/>
      <c r="D49" s="76"/>
      <c r="E49" s="76"/>
      <c r="F49" s="85" t="str">
        <f>IFERROR(VLOOKUP(D49,[1]Data!$A$2:$B$22,2,FALSE),"")</f>
        <v/>
      </c>
      <c r="G49" s="86"/>
      <c r="H49" s="87"/>
      <c r="I49" s="87"/>
      <c r="J49" s="86"/>
      <c r="K49" s="87"/>
      <c r="L49" s="87"/>
      <c r="M49" s="87"/>
      <c r="N49" s="87"/>
      <c r="O49" s="87"/>
      <c r="P49" s="87"/>
      <c r="Q49" s="86"/>
      <c r="R49" s="87"/>
      <c r="S49" s="87"/>
      <c r="T49" s="87"/>
      <c r="U49" s="87"/>
      <c r="V49" s="87"/>
      <c r="W49" s="87"/>
      <c r="X49" s="86"/>
      <c r="Y49" s="87"/>
      <c r="Z49" s="87"/>
      <c r="AA49" s="87"/>
      <c r="AB49" s="87"/>
      <c r="AC49" s="87"/>
      <c r="AD49" s="87"/>
      <c r="AE49" s="86"/>
      <c r="AF49" s="87"/>
      <c r="AG49" s="87"/>
      <c r="AH49" s="87"/>
      <c r="AI49" s="88"/>
      <c r="AJ49" s="88"/>
      <c r="AK49" s="89"/>
      <c r="AL49" s="90">
        <f t="shared" si="0"/>
        <v>0</v>
      </c>
    </row>
    <row r="50" spans="1:38" ht="14.25" x14ac:dyDescent="0.45">
      <c r="A50" s="76"/>
      <c r="B50" s="76"/>
      <c r="C50" s="76"/>
      <c r="D50" s="76"/>
      <c r="E50" s="76"/>
      <c r="F50" s="85" t="str">
        <f>IFERROR(VLOOKUP(D50,[1]Data!$A$2:$B$22,2,FALSE),"")</f>
        <v/>
      </c>
      <c r="G50" s="86"/>
      <c r="H50" s="87"/>
      <c r="I50" s="87"/>
      <c r="J50" s="86"/>
      <c r="K50" s="87"/>
      <c r="L50" s="87"/>
      <c r="M50" s="87"/>
      <c r="N50" s="87"/>
      <c r="O50" s="87"/>
      <c r="P50" s="87"/>
      <c r="Q50" s="86"/>
      <c r="R50" s="87"/>
      <c r="S50" s="87"/>
      <c r="T50" s="87"/>
      <c r="U50" s="87"/>
      <c r="V50" s="87"/>
      <c r="W50" s="87"/>
      <c r="X50" s="86"/>
      <c r="Y50" s="87"/>
      <c r="Z50" s="87"/>
      <c r="AA50" s="87"/>
      <c r="AB50" s="87"/>
      <c r="AC50" s="87"/>
      <c r="AD50" s="87"/>
      <c r="AE50" s="86"/>
      <c r="AF50" s="87"/>
      <c r="AG50" s="87"/>
      <c r="AH50" s="87"/>
      <c r="AI50" s="88"/>
      <c r="AJ50" s="88"/>
      <c r="AK50" s="89"/>
      <c r="AL50" s="90">
        <f t="shared" si="0"/>
        <v>0</v>
      </c>
    </row>
    <row r="51" spans="1:38" ht="14.25" x14ac:dyDescent="0.45">
      <c r="A51" s="76"/>
      <c r="B51" s="76"/>
      <c r="C51" s="76"/>
      <c r="D51" s="76"/>
      <c r="E51" s="76"/>
      <c r="F51" s="85" t="str">
        <f>IFERROR(VLOOKUP(D51,[1]Data!$A$2:$B$22,2,FALSE),"")</f>
        <v/>
      </c>
      <c r="G51" s="86"/>
      <c r="H51" s="87"/>
      <c r="I51" s="86"/>
      <c r="J51" s="86"/>
      <c r="K51" s="87"/>
      <c r="L51" s="87"/>
      <c r="M51" s="87"/>
      <c r="N51" s="87"/>
      <c r="O51" s="87"/>
      <c r="P51" s="86"/>
      <c r="Q51" s="87"/>
      <c r="R51" s="87"/>
      <c r="S51" s="87"/>
      <c r="T51" s="87"/>
      <c r="U51" s="87"/>
      <c r="V51" s="87"/>
      <c r="W51" s="86"/>
      <c r="X51" s="87"/>
      <c r="Y51" s="87"/>
      <c r="Z51" s="87"/>
      <c r="AA51" s="86"/>
      <c r="AB51" s="87"/>
      <c r="AC51" s="87"/>
      <c r="AD51" s="86"/>
      <c r="AE51" s="86"/>
      <c r="AF51" s="87"/>
      <c r="AG51" s="87"/>
      <c r="AH51" s="87"/>
      <c r="AI51" s="88"/>
      <c r="AJ51" s="88"/>
      <c r="AK51" s="89"/>
      <c r="AL51" s="90">
        <f t="shared" si="0"/>
        <v>0</v>
      </c>
    </row>
    <row r="52" spans="1:38" ht="14.25" x14ac:dyDescent="0.45">
      <c r="A52" s="76"/>
      <c r="B52" s="76"/>
      <c r="C52" s="76"/>
      <c r="D52" s="76"/>
      <c r="E52" s="76"/>
      <c r="F52" s="85" t="str">
        <f>IFERROR(VLOOKUP(D52,[1]Data!$A$2:$B$22,2,FALSE),"")</f>
        <v/>
      </c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8"/>
      <c r="AJ52" s="88"/>
      <c r="AK52" s="89"/>
      <c r="AL52" s="90">
        <f t="shared" si="0"/>
        <v>0</v>
      </c>
    </row>
    <row r="53" spans="1:38" ht="14.25" x14ac:dyDescent="0.45">
      <c r="A53" s="76"/>
      <c r="B53" s="76"/>
      <c r="C53" s="76"/>
      <c r="D53" s="76"/>
      <c r="E53" s="76"/>
      <c r="F53" s="85" t="str">
        <f>IFERROR(VLOOKUP(D53,[1]Data!$A$2:$B$22,2,FALSE),"")</f>
        <v/>
      </c>
      <c r="G53" s="87"/>
      <c r="H53" s="87"/>
      <c r="I53" s="87"/>
      <c r="J53" s="86"/>
      <c r="K53" s="87"/>
      <c r="L53" s="87"/>
      <c r="M53" s="87"/>
      <c r="N53" s="87"/>
      <c r="O53" s="87"/>
      <c r="P53" s="87"/>
      <c r="Q53" s="86"/>
      <c r="R53" s="87"/>
      <c r="S53" s="87"/>
      <c r="T53" s="87"/>
      <c r="U53" s="87"/>
      <c r="V53" s="87"/>
      <c r="W53" s="87"/>
      <c r="X53" s="86"/>
      <c r="Y53" s="87"/>
      <c r="Z53" s="87"/>
      <c r="AA53" s="87"/>
      <c r="AB53" s="87"/>
      <c r="AC53" s="87"/>
      <c r="AD53" s="87"/>
      <c r="AE53" s="86"/>
      <c r="AF53" s="87"/>
      <c r="AG53" s="87"/>
      <c r="AH53" s="87"/>
      <c r="AI53" s="88"/>
      <c r="AJ53" s="88"/>
      <c r="AK53" s="89"/>
      <c r="AL53" s="90">
        <f t="shared" si="0"/>
        <v>0</v>
      </c>
    </row>
    <row r="54" spans="1:38" ht="14.25" x14ac:dyDescent="0.45">
      <c r="A54" s="76"/>
      <c r="B54" s="76"/>
      <c r="C54" s="76"/>
      <c r="D54" s="76"/>
      <c r="E54" s="76"/>
      <c r="F54" s="85" t="str">
        <f>IFERROR(VLOOKUP(D54,[1]Data!$A$2:$B$22,2,FALSE),"")</f>
        <v/>
      </c>
      <c r="G54" s="87"/>
      <c r="H54" s="87"/>
      <c r="I54" s="86"/>
      <c r="J54" s="87"/>
      <c r="K54" s="87"/>
      <c r="L54" s="87"/>
      <c r="M54" s="87"/>
      <c r="N54" s="87"/>
      <c r="O54" s="87"/>
      <c r="P54" s="86"/>
      <c r="Q54" s="87"/>
      <c r="R54" s="87"/>
      <c r="S54" s="87"/>
      <c r="T54" s="87"/>
      <c r="U54" s="87"/>
      <c r="V54" s="87"/>
      <c r="W54" s="86"/>
      <c r="X54" s="87"/>
      <c r="Y54" s="87"/>
      <c r="Z54" s="87"/>
      <c r="AA54" s="87"/>
      <c r="AB54" s="87"/>
      <c r="AC54" s="87"/>
      <c r="AD54" s="86"/>
      <c r="AE54" s="87"/>
      <c r="AF54" s="87"/>
      <c r="AG54" s="87"/>
      <c r="AH54" s="87"/>
      <c r="AI54" s="88"/>
      <c r="AJ54" s="88"/>
      <c r="AK54" s="89"/>
      <c r="AL54" s="90">
        <f t="shared" si="0"/>
        <v>0</v>
      </c>
    </row>
    <row r="55" spans="1:38" ht="14.25" x14ac:dyDescent="0.45">
      <c r="A55" s="76"/>
      <c r="B55" s="76"/>
      <c r="C55" s="76"/>
      <c r="D55" s="76"/>
      <c r="E55" s="76"/>
      <c r="F55" s="85" t="str">
        <f>IFERROR(VLOOKUP(D55,[1]Data!$A$2:$B$22,2,FALSE),"")</f>
        <v/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8"/>
      <c r="AJ55" s="88"/>
      <c r="AK55" s="89"/>
      <c r="AL55" s="90">
        <f t="shared" si="0"/>
        <v>0</v>
      </c>
    </row>
    <row r="56" spans="1:38" ht="14.25" x14ac:dyDescent="0.45">
      <c r="A56" s="76"/>
      <c r="B56" s="76"/>
      <c r="C56" s="76"/>
      <c r="D56" s="76"/>
      <c r="E56" s="76"/>
      <c r="F56" s="85" t="str">
        <f>IFERROR(VLOOKUP(D56,[1]Data!$A$2:$B$22,2,FALSE),"")</f>
        <v/>
      </c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8"/>
      <c r="AJ56" s="88"/>
      <c r="AK56" s="89"/>
      <c r="AL56" s="90">
        <f t="shared" si="0"/>
        <v>0</v>
      </c>
    </row>
    <row r="57" spans="1:38" ht="14.25" x14ac:dyDescent="0.45">
      <c r="A57" s="76"/>
      <c r="B57" s="76"/>
      <c r="C57" s="76"/>
      <c r="D57" s="76"/>
      <c r="E57" s="76"/>
      <c r="F57" s="85" t="str">
        <f>IFERROR(VLOOKUP(D57,[1]Data!$A$2:$B$22,2,FALSE),"")</f>
        <v/>
      </c>
      <c r="G57" s="86"/>
      <c r="H57" s="87"/>
      <c r="I57" s="87"/>
      <c r="J57" s="86"/>
      <c r="K57" s="87"/>
      <c r="L57" s="87"/>
      <c r="M57" s="87"/>
      <c r="N57" s="87"/>
      <c r="O57" s="87"/>
      <c r="P57" s="87"/>
      <c r="Q57" s="86"/>
      <c r="R57" s="87"/>
      <c r="S57" s="87"/>
      <c r="T57" s="87"/>
      <c r="U57" s="87"/>
      <c r="V57" s="87"/>
      <c r="W57" s="87"/>
      <c r="X57" s="86"/>
      <c r="Y57" s="87"/>
      <c r="Z57" s="87"/>
      <c r="AA57" s="87"/>
      <c r="AB57" s="87"/>
      <c r="AC57" s="87"/>
      <c r="AD57" s="87"/>
      <c r="AE57" s="86"/>
      <c r="AF57" s="87"/>
      <c r="AG57" s="87"/>
      <c r="AH57" s="87"/>
      <c r="AI57" s="88"/>
      <c r="AJ57" s="88"/>
      <c r="AK57" s="89"/>
      <c r="AL57" s="90">
        <f t="shared" si="0"/>
        <v>0</v>
      </c>
    </row>
    <row r="58" spans="1:38" ht="14.25" x14ac:dyDescent="0.45">
      <c r="A58" s="76"/>
      <c r="B58" s="76"/>
      <c r="C58" s="76"/>
      <c r="D58" s="76"/>
      <c r="E58" s="76"/>
      <c r="F58" s="85" t="str">
        <f>IFERROR(VLOOKUP(D58,[1]Data!$A$2:$B$22,2,FALSE),"")</f>
        <v/>
      </c>
      <c r="G58" s="86"/>
      <c r="H58" s="87"/>
      <c r="I58" s="87"/>
      <c r="J58" s="86"/>
      <c r="K58" s="86"/>
      <c r="L58" s="87"/>
      <c r="M58" s="87"/>
      <c r="N58" s="87"/>
      <c r="O58" s="87"/>
      <c r="P58" s="87"/>
      <c r="Q58" s="87"/>
      <c r="R58" s="86"/>
      <c r="S58" s="87"/>
      <c r="T58" s="87"/>
      <c r="U58" s="87"/>
      <c r="V58" s="87"/>
      <c r="W58" s="87"/>
      <c r="X58" s="87"/>
      <c r="Y58" s="86"/>
      <c r="Z58" s="87"/>
      <c r="AA58" s="86"/>
      <c r="AB58" s="87"/>
      <c r="AC58" s="87"/>
      <c r="AD58" s="86"/>
      <c r="AE58" s="86"/>
      <c r="AF58" s="86"/>
      <c r="AG58" s="87"/>
      <c r="AH58" s="87"/>
      <c r="AI58" s="88"/>
      <c r="AJ58" s="88"/>
      <c r="AK58" s="89"/>
      <c r="AL58" s="90">
        <f t="shared" si="0"/>
        <v>0</v>
      </c>
    </row>
    <row r="59" spans="1:38" ht="14.25" x14ac:dyDescent="0.45">
      <c r="A59" s="76"/>
      <c r="B59" s="76"/>
      <c r="C59" s="76"/>
      <c r="D59" s="76"/>
      <c r="E59" s="76"/>
      <c r="F59" s="85" t="str">
        <f>IFERROR(VLOOKUP(D59,[1]Data!$A$2:$B$22,2,FALSE),"")</f>
        <v/>
      </c>
      <c r="G59" s="86"/>
      <c r="H59" s="87"/>
      <c r="I59" s="87"/>
      <c r="J59" s="86"/>
      <c r="K59" s="87"/>
      <c r="L59" s="87"/>
      <c r="M59" s="87"/>
      <c r="N59" s="87"/>
      <c r="O59" s="87"/>
      <c r="P59" s="87"/>
      <c r="Q59" s="86"/>
      <c r="R59" s="87"/>
      <c r="S59" s="87"/>
      <c r="T59" s="87"/>
      <c r="U59" s="87"/>
      <c r="V59" s="87"/>
      <c r="W59" s="87"/>
      <c r="X59" s="86"/>
      <c r="Y59" s="87"/>
      <c r="Z59" s="87"/>
      <c r="AA59" s="87"/>
      <c r="AB59" s="87"/>
      <c r="AC59" s="87"/>
      <c r="AD59" s="87"/>
      <c r="AE59" s="86"/>
      <c r="AF59" s="87"/>
      <c r="AG59" s="87"/>
      <c r="AH59" s="87"/>
      <c r="AI59" s="88"/>
      <c r="AJ59" s="88"/>
      <c r="AK59" s="89"/>
      <c r="AL59" s="90">
        <f t="shared" si="0"/>
        <v>0</v>
      </c>
    </row>
    <row r="60" spans="1:38" ht="14.25" x14ac:dyDescent="0.45">
      <c r="A60" s="76"/>
      <c r="B60" s="76"/>
      <c r="C60" s="76"/>
      <c r="D60" s="76"/>
      <c r="E60" s="76"/>
      <c r="F60" s="85" t="str">
        <f>IFERROR(VLOOKUP(D60,[1]Data!$A$2:$B$22,2,FALSE),"")</f>
        <v/>
      </c>
      <c r="G60" s="86"/>
      <c r="H60" s="87"/>
      <c r="I60" s="87"/>
      <c r="J60" s="86"/>
      <c r="K60" s="86"/>
      <c r="L60" s="87"/>
      <c r="M60" s="87"/>
      <c r="N60" s="86"/>
      <c r="O60" s="87"/>
      <c r="P60" s="87"/>
      <c r="Q60" s="87"/>
      <c r="R60" s="86"/>
      <c r="S60" s="87"/>
      <c r="T60" s="87"/>
      <c r="U60" s="86"/>
      <c r="V60" s="87"/>
      <c r="W60" s="87"/>
      <c r="X60" s="87"/>
      <c r="Y60" s="86"/>
      <c r="Z60" s="87"/>
      <c r="AA60" s="86"/>
      <c r="AB60" s="86"/>
      <c r="AC60" s="87"/>
      <c r="AD60" s="86"/>
      <c r="AE60" s="86"/>
      <c r="AF60" s="86"/>
      <c r="AG60" s="87"/>
      <c r="AH60" s="87"/>
      <c r="AI60" s="88"/>
      <c r="AJ60" s="88"/>
      <c r="AK60" s="89"/>
      <c r="AL60" s="90">
        <f t="shared" si="0"/>
        <v>0</v>
      </c>
    </row>
    <row r="61" spans="1:38" ht="14.25" x14ac:dyDescent="0.45">
      <c r="A61" s="76"/>
      <c r="B61" s="76"/>
      <c r="C61" s="76"/>
      <c r="D61" s="76"/>
      <c r="E61" s="76"/>
      <c r="F61" s="85" t="str">
        <f>IFERROR(VLOOKUP(D61,[1]Data!$A$2:$B$22,2,FALSE),"")</f>
        <v/>
      </c>
      <c r="G61" s="86"/>
      <c r="H61" s="87"/>
      <c r="I61" s="87"/>
      <c r="J61" s="86"/>
      <c r="K61" s="87"/>
      <c r="L61" s="87"/>
      <c r="M61" s="87"/>
      <c r="N61" s="87"/>
      <c r="O61" s="87"/>
      <c r="P61" s="87"/>
      <c r="Q61" s="86"/>
      <c r="R61" s="87"/>
      <c r="S61" s="87"/>
      <c r="T61" s="87"/>
      <c r="U61" s="87"/>
      <c r="V61" s="87"/>
      <c r="W61" s="87"/>
      <c r="X61" s="86"/>
      <c r="Y61" s="87"/>
      <c r="Z61" s="87"/>
      <c r="AA61" s="87"/>
      <c r="AB61" s="87"/>
      <c r="AC61" s="87"/>
      <c r="AD61" s="87"/>
      <c r="AE61" s="86"/>
      <c r="AF61" s="87"/>
      <c r="AG61" s="87"/>
      <c r="AH61" s="87"/>
      <c r="AI61" s="88"/>
      <c r="AJ61" s="88"/>
      <c r="AK61" s="89"/>
      <c r="AL61" s="90">
        <f t="shared" si="0"/>
        <v>0</v>
      </c>
    </row>
    <row r="62" spans="1:38" ht="14.25" x14ac:dyDescent="0.45">
      <c r="A62" s="76"/>
      <c r="B62" s="76"/>
      <c r="C62" s="76"/>
      <c r="D62" s="76"/>
      <c r="E62" s="76"/>
      <c r="F62" s="85" t="str">
        <f>IFERROR(VLOOKUP(D62,[1]Data!$A$2:$B$22,2,FALSE),"")</f>
        <v/>
      </c>
      <c r="G62" s="86"/>
      <c r="H62" s="87"/>
      <c r="I62" s="87"/>
      <c r="J62" s="86"/>
      <c r="K62" s="86"/>
      <c r="L62" s="87"/>
      <c r="M62" s="87"/>
      <c r="N62" s="87"/>
      <c r="O62" s="87"/>
      <c r="P62" s="87"/>
      <c r="Q62" s="87"/>
      <c r="R62" s="86"/>
      <c r="S62" s="87"/>
      <c r="T62" s="87"/>
      <c r="U62" s="87"/>
      <c r="V62" s="87"/>
      <c r="W62" s="87"/>
      <c r="X62" s="87"/>
      <c r="Y62" s="86"/>
      <c r="Z62" s="87"/>
      <c r="AA62" s="87"/>
      <c r="AB62" s="87"/>
      <c r="AC62" s="87"/>
      <c r="AD62" s="86"/>
      <c r="AE62" s="86"/>
      <c r="AF62" s="86"/>
      <c r="AG62" s="87"/>
      <c r="AH62" s="87"/>
      <c r="AI62" s="88"/>
      <c r="AJ62" s="88"/>
      <c r="AK62" s="89"/>
      <c r="AL62" s="90">
        <f t="shared" si="0"/>
        <v>0</v>
      </c>
    </row>
    <row r="63" spans="1:38" ht="14.25" x14ac:dyDescent="0.45">
      <c r="A63" s="76"/>
      <c r="B63" s="76"/>
      <c r="C63" s="76"/>
      <c r="D63" s="76"/>
      <c r="E63" s="76"/>
      <c r="F63" s="85" t="str">
        <f>IFERROR(VLOOKUP(D63,[1]Data!$A$2:$B$22,2,FALSE),"")</f>
        <v/>
      </c>
      <c r="G63" s="86"/>
      <c r="H63" s="87"/>
      <c r="I63" s="87"/>
      <c r="J63" s="86"/>
      <c r="K63" s="87"/>
      <c r="L63" s="87"/>
      <c r="M63" s="87"/>
      <c r="N63" s="87"/>
      <c r="O63" s="87"/>
      <c r="P63" s="87"/>
      <c r="Q63" s="86"/>
      <c r="R63" s="87"/>
      <c r="S63" s="87"/>
      <c r="T63" s="87"/>
      <c r="U63" s="87"/>
      <c r="V63" s="87"/>
      <c r="W63" s="87"/>
      <c r="X63" s="86"/>
      <c r="Y63" s="87"/>
      <c r="Z63" s="87"/>
      <c r="AA63" s="87"/>
      <c r="AB63" s="87"/>
      <c r="AC63" s="87"/>
      <c r="AD63" s="87"/>
      <c r="AE63" s="86"/>
      <c r="AF63" s="87"/>
      <c r="AG63" s="87"/>
      <c r="AH63" s="87"/>
      <c r="AI63" s="88"/>
      <c r="AJ63" s="88"/>
      <c r="AK63" s="89"/>
      <c r="AL63" s="90">
        <f t="shared" si="0"/>
        <v>0</v>
      </c>
    </row>
    <row r="64" spans="1:38" ht="14.25" x14ac:dyDescent="0.45">
      <c r="A64" s="76"/>
      <c r="B64" s="76"/>
      <c r="C64" s="76"/>
      <c r="D64" s="76"/>
      <c r="E64" s="76"/>
      <c r="F64" s="85" t="str">
        <f>IFERROR(VLOOKUP(D64,[1]Data!$A$2:$B$22,2,FALSE),"")</f>
        <v/>
      </c>
      <c r="G64" s="86"/>
      <c r="H64" s="87"/>
      <c r="I64" s="87"/>
      <c r="J64" s="86"/>
      <c r="K64" s="87"/>
      <c r="L64" s="87"/>
      <c r="M64" s="86"/>
      <c r="N64" s="87"/>
      <c r="O64" s="87"/>
      <c r="P64" s="87"/>
      <c r="Q64" s="87"/>
      <c r="R64" s="87"/>
      <c r="S64" s="87"/>
      <c r="T64" s="86"/>
      <c r="U64" s="87"/>
      <c r="V64" s="87"/>
      <c r="W64" s="87"/>
      <c r="X64" s="87"/>
      <c r="Y64" s="87"/>
      <c r="Z64" s="87"/>
      <c r="AA64" s="86"/>
      <c r="AB64" s="87"/>
      <c r="AC64" s="87"/>
      <c r="AD64" s="86"/>
      <c r="AE64" s="86"/>
      <c r="AF64" s="87"/>
      <c r="AG64" s="87"/>
      <c r="AH64" s="86"/>
      <c r="AI64" s="88"/>
      <c r="AJ64" s="88"/>
      <c r="AK64" s="89"/>
      <c r="AL64" s="90">
        <f t="shared" si="0"/>
        <v>0</v>
      </c>
    </row>
    <row r="65" spans="1:38" ht="14.25" x14ac:dyDescent="0.45">
      <c r="A65" s="76"/>
      <c r="B65" s="76"/>
      <c r="C65" s="76"/>
      <c r="D65" s="76"/>
      <c r="E65" s="76"/>
      <c r="F65" s="85" t="str">
        <f>IFERROR(VLOOKUP(D65,[1]Data!$A$2:$B$22,2,FALSE),"")</f>
        <v/>
      </c>
      <c r="G65" s="86"/>
      <c r="H65" s="87"/>
      <c r="I65" s="87"/>
      <c r="J65" s="86"/>
      <c r="K65" s="87"/>
      <c r="L65" s="87"/>
      <c r="M65" s="87"/>
      <c r="N65" s="87"/>
      <c r="O65" s="87"/>
      <c r="P65" s="87"/>
      <c r="Q65" s="86"/>
      <c r="R65" s="87"/>
      <c r="S65" s="87"/>
      <c r="T65" s="87"/>
      <c r="U65" s="87"/>
      <c r="V65" s="87"/>
      <c r="W65" s="87"/>
      <c r="X65" s="86"/>
      <c r="Y65" s="87"/>
      <c r="Z65" s="87"/>
      <c r="AA65" s="87"/>
      <c r="AB65" s="87"/>
      <c r="AC65" s="87"/>
      <c r="AD65" s="87"/>
      <c r="AE65" s="86"/>
      <c r="AF65" s="87"/>
      <c r="AG65" s="87"/>
      <c r="AH65" s="87"/>
      <c r="AI65" s="88"/>
      <c r="AJ65" s="88"/>
      <c r="AK65" s="89"/>
      <c r="AL65" s="90">
        <f t="shared" si="0"/>
        <v>0</v>
      </c>
    </row>
    <row r="66" spans="1:38" ht="14.25" x14ac:dyDescent="0.45">
      <c r="A66" s="76"/>
      <c r="B66" s="76"/>
      <c r="C66" s="76"/>
      <c r="D66" s="76"/>
      <c r="E66" s="76"/>
      <c r="F66" s="85" t="str">
        <f>IFERROR(VLOOKUP(D66,[1]Data!$A$2:$B$22,2,FALSE),"")</f>
        <v/>
      </c>
      <c r="G66" s="86"/>
      <c r="H66" s="87"/>
      <c r="I66" s="87"/>
      <c r="J66" s="86"/>
      <c r="K66" s="87"/>
      <c r="L66" s="87"/>
      <c r="M66" s="87"/>
      <c r="N66" s="87"/>
      <c r="O66" s="87"/>
      <c r="P66" s="87"/>
      <c r="Q66" s="86"/>
      <c r="R66" s="87"/>
      <c r="S66" s="87"/>
      <c r="T66" s="87"/>
      <c r="U66" s="87"/>
      <c r="V66" s="87"/>
      <c r="W66" s="87"/>
      <c r="X66" s="86"/>
      <c r="Y66" s="87"/>
      <c r="Z66" s="87"/>
      <c r="AA66" s="86"/>
      <c r="AB66" s="87"/>
      <c r="AC66" s="87"/>
      <c r="AD66" s="86"/>
      <c r="AE66" s="86"/>
      <c r="AF66" s="86"/>
      <c r="AG66" s="87"/>
      <c r="AH66" s="87"/>
      <c r="AI66" s="88"/>
      <c r="AJ66" s="88"/>
      <c r="AK66" s="89"/>
      <c r="AL66" s="90">
        <f t="shared" si="0"/>
        <v>0</v>
      </c>
    </row>
    <row r="67" spans="1:38" ht="14.25" x14ac:dyDescent="0.45">
      <c r="A67" s="76"/>
      <c r="B67" s="76"/>
      <c r="C67" s="76"/>
      <c r="D67" s="76"/>
      <c r="E67" s="76"/>
      <c r="F67" s="85" t="str">
        <f>IFERROR(VLOOKUP(D67,[1]Data!$A$2:$B$22,2,FALSE),"")</f>
        <v/>
      </c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E67" s="87"/>
      <c r="AF67" s="87"/>
      <c r="AG67" s="87"/>
      <c r="AH67" s="87"/>
      <c r="AI67" s="88"/>
      <c r="AJ67" s="88"/>
      <c r="AK67" s="89"/>
      <c r="AL67" s="90">
        <f t="shared" si="0"/>
        <v>0</v>
      </c>
    </row>
    <row r="68" spans="1:38" ht="15" customHeight="1" x14ac:dyDescent="0.45">
      <c r="A68" s="76"/>
      <c r="B68" s="76"/>
      <c r="C68" s="76"/>
      <c r="D68" s="76"/>
      <c r="E68" s="76"/>
      <c r="F68" s="85" t="str">
        <f>IFERROR(VLOOKUP(D68,[1]Data!$A$2:$B$22,2,FALSE),"")</f>
        <v/>
      </c>
      <c r="G68" s="87"/>
      <c r="H68" s="87"/>
      <c r="I68" s="87"/>
      <c r="J68" s="86"/>
      <c r="K68" s="87"/>
      <c r="L68" s="87"/>
      <c r="M68" s="87"/>
      <c r="N68" s="87"/>
      <c r="O68" s="87"/>
      <c r="P68" s="87"/>
      <c r="Q68" s="86"/>
      <c r="R68" s="87"/>
      <c r="S68" s="87"/>
      <c r="T68" s="87"/>
      <c r="U68" s="87"/>
      <c r="V68" s="87"/>
      <c r="W68" s="87"/>
      <c r="X68" s="86"/>
      <c r="Y68" s="87"/>
      <c r="Z68" s="87"/>
      <c r="AA68" s="87"/>
      <c r="AB68" s="87"/>
      <c r="AC68" s="87"/>
      <c r="AD68" s="87"/>
      <c r="AE68" s="86"/>
      <c r="AF68" s="87"/>
      <c r="AG68" s="87"/>
      <c r="AH68" s="87"/>
      <c r="AI68" s="88"/>
      <c r="AJ68" s="88"/>
      <c r="AK68" s="89"/>
      <c r="AL68" s="90">
        <f t="shared" si="0"/>
        <v>0</v>
      </c>
    </row>
    <row r="69" spans="1:38" ht="15" customHeight="1" x14ac:dyDescent="0.45">
      <c r="A69" s="76"/>
      <c r="B69" s="76"/>
      <c r="C69" s="76"/>
      <c r="D69" s="76"/>
      <c r="E69" s="76"/>
      <c r="F69" s="85" t="str">
        <f>IFERROR(VLOOKUP(D69,[1]Data!$A$2:$B$22,2,FALSE),"")</f>
        <v/>
      </c>
      <c r="G69" s="86"/>
      <c r="H69" s="87"/>
      <c r="I69" s="87"/>
      <c r="J69" s="86"/>
      <c r="K69" s="87"/>
      <c r="L69" s="87"/>
      <c r="M69" s="87"/>
      <c r="N69" s="87"/>
      <c r="O69" s="87"/>
      <c r="P69" s="87"/>
      <c r="Q69" s="86"/>
      <c r="R69" s="87"/>
      <c r="S69" s="87"/>
      <c r="T69" s="87"/>
      <c r="U69" s="87"/>
      <c r="V69" s="87"/>
      <c r="W69" s="87"/>
      <c r="X69" s="86"/>
      <c r="Y69" s="87"/>
      <c r="Z69" s="87"/>
      <c r="AA69" s="86"/>
      <c r="AB69" s="87"/>
      <c r="AC69" s="87"/>
      <c r="AD69" s="86"/>
      <c r="AE69" s="86"/>
      <c r="AF69" s="86"/>
      <c r="AG69" s="87"/>
      <c r="AH69" s="87"/>
      <c r="AI69" s="88"/>
      <c r="AJ69" s="88"/>
      <c r="AK69" s="89"/>
      <c r="AL69" s="90">
        <f t="shared" si="0"/>
        <v>0</v>
      </c>
    </row>
    <row r="70" spans="1:38" ht="15" customHeight="1" x14ac:dyDescent="0.45">
      <c r="A70" s="76"/>
      <c r="B70" s="76"/>
      <c r="C70" s="76"/>
      <c r="D70" s="76"/>
      <c r="E70" s="76"/>
      <c r="F70" s="85" t="str">
        <f>IFERROR(VLOOKUP(D70,[1]Data!$A$2:$B$22,2,FALSE),"")</f>
        <v/>
      </c>
      <c r="G70" s="86"/>
      <c r="H70" s="87"/>
      <c r="I70" s="87"/>
      <c r="J70" s="86"/>
      <c r="K70" s="87"/>
      <c r="L70" s="87"/>
      <c r="M70" s="87"/>
      <c r="N70" s="87"/>
      <c r="O70" s="87"/>
      <c r="P70" s="87"/>
      <c r="Q70" s="86"/>
      <c r="R70" s="87"/>
      <c r="S70" s="87"/>
      <c r="T70" s="87"/>
      <c r="U70" s="87"/>
      <c r="V70" s="87"/>
      <c r="W70" s="87"/>
      <c r="X70" s="86"/>
      <c r="Y70" s="87"/>
      <c r="Z70" s="87"/>
      <c r="AA70" s="87"/>
      <c r="AB70" s="87"/>
      <c r="AC70" s="87"/>
      <c r="AD70" s="87"/>
      <c r="AE70" s="86"/>
      <c r="AF70" s="87"/>
      <c r="AG70" s="87"/>
      <c r="AH70" s="87"/>
      <c r="AI70" s="88"/>
      <c r="AJ70" s="88"/>
      <c r="AK70" s="89"/>
      <c r="AL70" s="90">
        <f t="shared" si="0"/>
        <v>0</v>
      </c>
    </row>
    <row r="71" spans="1:38" ht="15" customHeight="1" x14ac:dyDescent="0.45">
      <c r="A71" s="76"/>
      <c r="B71" s="76"/>
      <c r="C71" s="76"/>
      <c r="D71" s="76"/>
      <c r="E71" s="76"/>
      <c r="F71" s="85" t="str">
        <f>IFERROR(VLOOKUP(D71,[1]Data!$A$2:$B$22,2,FALSE),"")</f>
        <v/>
      </c>
      <c r="G71" s="87"/>
      <c r="H71" s="87"/>
      <c r="I71" s="87"/>
      <c r="J71" s="86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6"/>
      <c r="AE71" s="86"/>
      <c r="AF71" s="86"/>
      <c r="AG71" s="87"/>
      <c r="AH71" s="87"/>
      <c r="AI71" s="88"/>
      <c r="AJ71" s="88"/>
      <c r="AK71" s="89"/>
      <c r="AL71" s="90">
        <f t="shared" si="0"/>
        <v>0</v>
      </c>
    </row>
    <row r="72" spans="1:38" ht="15" customHeight="1" x14ac:dyDescent="0.45">
      <c r="A72" s="76"/>
      <c r="B72" s="76"/>
      <c r="C72" s="76"/>
      <c r="D72" s="76"/>
      <c r="E72" s="76"/>
      <c r="F72" s="85" t="str">
        <f>IFERROR(VLOOKUP(D72,[1]Data!$A$2:$B$22,2,FALSE),"")</f>
        <v/>
      </c>
      <c r="G72" s="87"/>
      <c r="H72" s="87"/>
      <c r="I72" s="87"/>
      <c r="J72" s="86"/>
      <c r="K72" s="87"/>
      <c r="L72" s="87"/>
      <c r="M72" s="87"/>
      <c r="N72" s="87"/>
      <c r="O72" s="87"/>
      <c r="P72" s="87"/>
      <c r="Q72" s="86"/>
      <c r="R72" s="87"/>
      <c r="S72" s="87"/>
      <c r="T72" s="87"/>
      <c r="U72" s="87"/>
      <c r="V72" s="87"/>
      <c r="W72" s="87"/>
      <c r="X72" s="86"/>
      <c r="Y72" s="87"/>
      <c r="Z72" s="87"/>
      <c r="AA72" s="87"/>
      <c r="AB72" s="87"/>
      <c r="AC72" s="87"/>
      <c r="AD72" s="87"/>
      <c r="AE72" s="86"/>
      <c r="AF72" s="87"/>
      <c r="AG72" s="87"/>
      <c r="AH72" s="87"/>
      <c r="AI72" s="88"/>
      <c r="AJ72" s="88"/>
      <c r="AK72" s="89"/>
      <c r="AL72" s="90">
        <f t="shared" si="0"/>
        <v>0</v>
      </c>
    </row>
    <row r="73" spans="1:38" ht="15" customHeight="1" x14ac:dyDescent="0.45">
      <c r="A73" s="76"/>
      <c r="B73" s="76"/>
      <c r="C73" s="76"/>
      <c r="D73" s="76"/>
      <c r="E73" s="76"/>
      <c r="F73" s="85" t="str">
        <f>IFERROR(VLOOKUP(D73,[1]Data!$A$2:$B$22,2,FALSE),"")</f>
        <v/>
      </c>
      <c r="G73" s="87"/>
      <c r="H73" s="87"/>
      <c r="I73" s="87"/>
      <c r="J73" s="86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6"/>
      <c r="AB73" s="87"/>
      <c r="AC73" s="87"/>
      <c r="AD73" s="87"/>
      <c r="AE73" s="86"/>
      <c r="AF73" s="87"/>
      <c r="AG73" s="87"/>
      <c r="AH73" s="87"/>
      <c r="AI73" s="88"/>
      <c r="AJ73" s="88"/>
      <c r="AK73" s="89"/>
      <c r="AL73" s="90">
        <f t="shared" si="0"/>
        <v>0</v>
      </c>
    </row>
    <row r="74" spans="1:38" ht="14.25" x14ac:dyDescent="0.45">
      <c r="A74" s="76"/>
      <c r="B74" s="76"/>
      <c r="C74" s="76"/>
      <c r="D74" s="76"/>
      <c r="E74" s="76"/>
      <c r="F74" s="85" t="str">
        <f>IFERROR(VLOOKUP(D74,[1]Data!$A$2:$B$22,2,FALSE),"")</f>
        <v/>
      </c>
      <c r="G74" s="87"/>
      <c r="H74" s="87"/>
      <c r="I74" s="87"/>
      <c r="J74" s="86"/>
      <c r="K74" s="87"/>
      <c r="L74" s="87"/>
      <c r="M74" s="87"/>
      <c r="N74" s="87"/>
      <c r="O74" s="87"/>
      <c r="P74" s="87"/>
      <c r="Q74" s="86"/>
      <c r="R74" s="87"/>
      <c r="S74" s="87"/>
      <c r="T74" s="87"/>
      <c r="U74" s="87"/>
      <c r="V74" s="87"/>
      <c r="W74" s="87"/>
      <c r="X74" s="86"/>
      <c r="Y74" s="87"/>
      <c r="Z74" s="87"/>
      <c r="AA74" s="87"/>
      <c r="AB74" s="87"/>
      <c r="AC74" s="87"/>
      <c r="AD74" s="87"/>
      <c r="AE74" s="86"/>
      <c r="AF74" s="87"/>
      <c r="AG74" s="87"/>
      <c r="AH74" s="87"/>
      <c r="AI74" s="88"/>
      <c r="AJ74" s="88"/>
      <c r="AK74" s="89"/>
      <c r="AL74" s="90">
        <f t="shared" ref="AL74:AL93" si="1">SUM(G74:AK74)</f>
        <v>0</v>
      </c>
    </row>
    <row r="75" spans="1:38" ht="14.25" x14ac:dyDescent="0.45">
      <c r="A75" s="76"/>
      <c r="B75" s="76"/>
      <c r="C75" s="76"/>
      <c r="D75" s="76"/>
      <c r="E75" s="76"/>
      <c r="F75" s="85" t="str">
        <f>IFERROR(VLOOKUP(D75,[1]Data!$A$2:$B$22,2,FALSE),"")</f>
        <v/>
      </c>
      <c r="G75" s="87"/>
      <c r="H75" s="87"/>
      <c r="I75" s="87"/>
      <c r="J75" s="86"/>
      <c r="K75" s="86"/>
      <c r="L75" s="87"/>
      <c r="M75" s="87"/>
      <c r="N75" s="87"/>
      <c r="O75" s="87"/>
      <c r="P75" s="87"/>
      <c r="Q75" s="87"/>
      <c r="R75" s="86"/>
      <c r="S75" s="87"/>
      <c r="T75" s="87"/>
      <c r="U75" s="87"/>
      <c r="V75" s="87"/>
      <c r="W75" s="87"/>
      <c r="X75" s="87"/>
      <c r="Y75" s="86"/>
      <c r="Z75" s="87"/>
      <c r="AA75" s="86"/>
      <c r="AB75" s="87"/>
      <c r="AC75" s="87"/>
      <c r="AD75" s="87"/>
      <c r="AE75" s="86"/>
      <c r="AF75" s="86"/>
      <c r="AG75" s="87"/>
      <c r="AH75" s="87"/>
      <c r="AI75" s="88"/>
      <c r="AJ75" s="88"/>
      <c r="AK75" s="89"/>
      <c r="AL75" s="90">
        <f t="shared" si="1"/>
        <v>0</v>
      </c>
    </row>
    <row r="76" spans="1:38" ht="14.25" x14ac:dyDescent="0.45">
      <c r="A76" s="76"/>
      <c r="B76" s="76"/>
      <c r="C76" s="76"/>
      <c r="D76" s="76"/>
      <c r="E76" s="76"/>
      <c r="F76" s="85" t="str">
        <f>IFERROR(VLOOKUP(D76,[1]Data!$A$2:$B$22,2,FALSE),"")</f>
        <v/>
      </c>
      <c r="G76" s="87"/>
      <c r="H76" s="87"/>
      <c r="I76" s="87"/>
      <c r="J76" s="86"/>
      <c r="K76" s="87"/>
      <c r="L76" s="87"/>
      <c r="M76" s="87"/>
      <c r="N76" s="87"/>
      <c r="O76" s="87"/>
      <c r="P76" s="87"/>
      <c r="Q76" s="86"/>
      <c r="R76" s="87"/>
      <c r="S76" s="87"/>
      <c r="T76" s="87"/>
      <c r="U76" s="87"/>
      <c r="V76" s="87"/>
      <c r="W76" s="87"/>
      <c r="X76" s="86"/>
      <c r="Y76" s="87"/>
      <c r="Z76" s="87"/>
      <c r="AA76" s="87"/>
      <c r="AB76" s="87"/>
      <c r="AC76" s="87"/>
      <c r="AD76" s="87"/>
      <c r="AE76" s="86"/>
      <c r="AF76" s="87"/>
      <c r="AG76" s="87"/>
      <c r="AH76" s="87"/>
      <c r="AI76" s="88"/>
      <c r="AJ76" s="88"/>
      <c r="AK76" s="89"/>
      <c r="AL76" s="90">
        <f t="shared" si="1"/>
        <v>0</v>
      </c>
    </row>
    <row r="77" spans="1:38" ht="14.25" x14ac:dyDescent="0.45">
      <c r="A77" s="76"/>
      <c r="B77" s="76"/>
      <c r="C77" s="76"/>
      <c r="D77" s="76"/>
      <c r="E77" s="76"/>
      <c r="F77" s="85" t="str">
        <f>IFERROR(VLOOKUP(D77,[1]Data!$A$2:$B$22,2,FALSE),"")</f>
        <v/>
      </c>
      <c r="G77" s="87"/>
      <c r="H77" s="87"/>
      <c r="I77" s="87"/>
      <c r="J77" s="86"/>
      <c r="K77" s="87"/>
      <c r="L77" s="87"/>
      <c r="M77" s="87"/>
      <c r="N77" s="87"/>
      <c r="O77" s="87"/>
      <c r="P77" s="87"/>
      <c r="Q77" s="86"/>
      <c r="R77" s="87"/>
      <c r="S77" s="87"/>
      <c r="T77" s="87"/>
      <c r="U77" s="87"/>
      <c r="V77" s="87"/>
      <c r="W77" s="87"/>
      <c r="X77" s="86"/>
      <c r="Y77" s="87"/>
      <c r="Z77" s="87"/>
      <c r="AA77" s="87"/>
      <c r="AB77" s="87"/>
      <c r="AC77" s="87"/>
      <c r="AD77" s="87"/>
      <c r="AE77" s="86"/>
      <c r="AF77" s="87"/>
      <c r="AG77" s="87"/>
      <c r="AH77" s="87"/>
      <c r="AI77" s="88"/>
      <c r="AJ77" s="88"/>
      <c r="AK77" s="89"/>
      <c r="AL77" s="90">
        <f t="shared" si="1"/>
        <v>0</v>
      </c>
    </row>
    <row r="78" spans="1:38" ht="14.25" x14ac:dyDescent="0.45">
      <c r="A78" s="76"/>
      <c r="B78" s="76"/>
      <c r="C78" s="76"/>
      <c r="D78" s="76"/>
      <c r="E78" s="76"/>
      <c r="F78" s="85" t="str">
        <f>IFERROR(VLOOKUP(D78,[1]Data!$A$2:$B$22,2,FALSE),"")</f>
        <v/>
      </c>
      <c r="G78" s="87"/>
      <c r="H78" s="87"/>
      <c r="I78" s="87"/>
      <c r="J78" s="86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  <c r="AA78" s="87"/>
      <c r="AB78" s="87"/>
      <c r="AC78" s="87"/>
      <c r="AD78" s="86"/>
      <c r="AE78" s="86"/>
      <c r="AF78" s="87"/>
      <c r="AG78" s="87"/>
      <c r="AH78" s="87"/>
      <c r="AI78" s="88"/>
      <c r="AJ78" s="88"/>
      <c r="AK78" s="89"/>
      <c r="AL78" s="90">
        <f t="shared" si="1"/>
        <v>0</v>
      </c>
    </row>
    <row r="79" spans="1:38" ht="14.25" x14ac:dyDescent="0.45">
      <c r="A79" s="76"/>
      <c r="B79" s="76"/>
      <c r="C79" s="76"/>
      <c r="D79" s="76"/>
      <c r="E79" s="76"/>
      <c r="F79" s="85" t="str">
        <f>IFERROR(VLOOKUP(D79,[1]Data!$A$2:$B$22,2,FALSE),"")</f>
        <v/>
      </c>
      <c r="G79" s="87"/>
      <c r="H79" s="87"/>
      <c r="I79" s="86"/>
      <c r="J79" s="86"/>
      <c r="K79" s="87"/>
      <c r="L79" s="87"/>
      <c r="M79" s="87"/>
      <c r="N79" s="87"/>
      <c r="O79" s="86"/>
      <c r="P79" s="86"/>
      <c r="Q79" s="87"/>
      <c r="R79" s="87"/>
      <c r="S79" s="87"/>
      <c r="T79" s="87"/>
      <c r="U79" s="87"/>
      <c r="V79" s="86"/>
      <c r="W79" s="86"/>
      <c r="X79" s="87"/>
      <c r="Y79" s="87"/>
      <c r="Z79" s="87"/>
      <c r="AA79" s="86"/>
      <c r="AB79" s="87"/>
      <c r="AC79" s="86"/>
      <c r="AD79" s="86"/>
      <c r="AE79" s="86"/>
      <c r="AF79" s="86"/>
      <c r="AG79" s="87"/>
      <c r="AH79" s="87"/>
      <c r="AI79" s="88"/>
      <c r="AJ79" s="88"/>
      <c r="AK79" s="89"/>
      <c r="AL79" s="90">
        <f t="shared" si="1"/>
        <v>0</v>
      </c>
    </row>
    <row r="80" spans="1:38" ht="14.25" x14ac:dyDescent="0.45">
      <c r="A80" s="76"/>
      <c r="B80" s="76"/>
      <c r="C80" s="76"/>
      <c r="D80" s="76"/>
      <c r="E80" s="76"/>
      <c r="F80" s="85" t="str">
        <f>IFERROR(VLOOKUP(D80,[1]Data!$A$2:$B$22,2,FALSE),"")</f>
        <v/>
      </c>
      <c r="G80" s="87"/>
      <c r="H80" s="87"/>
      <c r="I80" s="87"/>
      <c r="J80" s="86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6"/>
      <c r="AE80" s="86"/>
      <c r="AF80" s="87"/>
      <c r="AG80" s="87"/>
      <c r="AH80" s="87"/>
      <c r="AI80" s="88"/>
      <c r="AJ80" s="88"/>
      <c r="AK80" s="89"/>
      <c r="AL80" s="90">
        <f t="shared" si="1"/>
        <v>0</v>
      </c>
    </row>
    <row r="81" spans="1:38" ht="14.25" x14ac:dyDescent="0.45">
      <c r="A81" s="76"/>
      <c r="B81" s="76"/>
      <c r="C81" s="76"/>
      <c r="D81" s="76"/>
      <c r="E81" s="76"/>
      <c r="F81" s="85" t="str">
        <f>IFERROR(VLOOKUP(D81,[1]Data!$A$2:$B$22,2,FALSE),"")</f>
        <v/>
      </c>
      <c r="G81" s="87"/>
      <c r="H81" s="87"/>
      <c r="I81" s="87"/>
      <c r="J81" s="86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6"/>
      <c r="AE81" s="86"/>
      <c r="AF81" s="87"/>
      <c r="AG81" s="87"/>
      <c r="AH81" s="87"/>
      <c r="AI81" s="88"/>
      <c r="AJ81" s="88"/>
      <c r="AK81" s="89"/>
      <c r="AL81" s="90">
        <f t="shared" si="1"/>
        <v>0</v>
      </c>
    </row>
    <row r="82" spans="1:38" ht="14.25" x14ac:dyDescent="0.45">
      <c r="A82" s="76"/>
      <c r="B82" s="76"/>
      <c r="C82" s="76"/>
      <c r="D82" s="76"/>
      <c r="E82" s="76"/>
      <c r="F82" s="85" t="str">
        <f>IFERROR(VLOOKUP(D82,[1]Data!$A$2:$B$22,2,FALSE),"")</f>
        <v/>
      </c>
      <c r="G82" s="86"/>
      <c r="H82" s="86"/>
      <c r="I82" s="87"/>
      <c r="J82" s="86"/>
      <c r="K82" s="87"/>
      <c r="L82" s="87"/>
      <c r="M82" s="87"/>
      <c r="N82" s="87"/>
      <c r="O82" s="86"/>
      <c r="P82" s="87"/>
      <c r="Q82" s="87"/>
      <c r="R82" s="87"/>
      <c r="S82" s="87"/>
      <c r="T82" s="87"/>
      <c r="U82" s="87"/>
      <c r="V82" s="86"/>
      <c r="W82" s="87"/>
      <c r="X82" s="87"/>
      <c r="Y82" s="87"/>
      <c r="Z82" s="87"/>
      <c r="AA82" s="86"/>
      <c r="AB82" s="87"/>
      <c r="AC82" s="86"/>
      <c r="AD82" s="86"/>
      <c r="AE82" s="86"/>
      <c r="AF82" s="86"/>
      <c r="AG82" s="87"/>
      <c r="AH82" s="87"/>
      <c r="AI82" s="88"/>
      <c r="AJ82" s="88"/>
      <c r="AK82" s="89"/>
      <c r="AL82" s="90">
        <f t="shared" si="1"/>
        <v>0</v>
      </c>
    </row>
    <row r="83" spans="1:38" ht="14.25" x14ac:dyDescent="0.45">
      <c r="A83" s="76"/>
      <c r="B83" s="76"/>
      <c r="C83" s="76"/>
      <c r="D83" s="76"/>
      <c r="E83" s="76"/>
      <c r="F83" s="85" t="str">
        <f>IFERROR(VLOOKUP(D83,[1]Data!$A$2:$B$22,2,FALSE),"")</f>
        <v/>
      </c>
      <c r="G83" s="86"/>
      <c r="H83" s="87"/>
      <c r="I83" s="87"/>
      <c r="J83" s="86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  <c r="AA83" s="86"/>
      <c r="AB83" s="87"/>
      <c r="AC83" s="87"/>
      <c r="AD83" s="87"/>
      <c r="AE83" s="86"/>
      <c r="AF83" s="86"/>
      <c r="AG83" s="87"/>
      <c r="AH83" s="87"/>
      <c r="AI83" s="88"/>
      <c r="AJ83" s="88"/>
      <c r="AK83" s="89"/>
      <c r="AL83" s="90">
        <f t="shared" si="1"/>
        <v>0</v>
      </c>
    </row>
    <row r="84" spans="1:38" ht="14.25" x14ac:dyDescent="0.45">
      <c r="A84" s="76"/>
      <c r="B84" s="76"/>
      <c r="C84" s="76"/>
      <c r="D84" s="76"/>
      <c r="E84" s="76"/>
      <c r="F84" s="85" t="str">
        <f>IFERROR(VLOOKUP(D84,[1]Data!$A$2:$B$22,2,FALSE),"")</f>
        <v/>
      </c>
      <c r="G84" s="86"/>
      <c r="H84" s="87"/>
      <c r="I84" s="87"/>
      <c r="J84" s="86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6"/>
      <c r="AB84" s="87"/>
      <c r="AC84" s="87"/>
      <c r="AD84" s="87"/>
      <c r="AE84" s="86"/>
      <c r="AF84" s="86"/>
      <c r="AG84" s="87"/>
      <c r="AH84" s="87"/>
      <c r="AI84" s="88"/>
      <c r="AJ84" s="88"/>
      <c r="AK84" s="89"/>
      <c r="AL84" s="90">
        <f t="shared" si="1"/>
        <v>0</v>
      </c>
    </row>
    <row r="85" spans="1:38" ht="14.25" x14ac:dyDescent="0.45">
      <c r="A85" s="76"/>
      <c r="B85" s="76"/>
      <c r="C85" s="76"/>
      <c r="D85" s="76"/>
      <c r="E85" s="76"/>
      <c r="F85" s="85" t="str">
        <f>IFERROR(VLOOKUP(D85,[1]Data!$A$2:$B$22,2,FALSE),"")</f>
        <v/>
      </c>
      <c r="G85" s="86"/>
      <c r="H85" s="87"/>
      <c r="I85" s="87"/>
      <c r="J85" s="86"/>
      <c r="K85" s="87"/>
      <c r="L85" s="87"/>
      <c r="M85" s="86"/>
      <c r="N85" s="87"/>
      <c r="O85" s="87"/>
      <c r="P85" s="87"/>
      <c r="Q85" s="87"/>
      <c r="R85" s="87"/>
      <c r="S85" s="87"/>
      <c r="T85" s="86"/>
      <c r="U85" s="87"/>
      <c r="V85" s="87"/>
      <c r="W85" s="87"/>
      <c r="X85" s="87"/>
      <c r="Y85" s="87"/>
      <c r="Z85" s="87"/>
      <c r="AA85" s="86"/>
      <c r="AB85" s="87"/>
      <c r="AC85" s="87"/>
      <c r="AD85" s="86"/>
      <c r="AE85" s="86"/>
      <c r="AF85" s="87"/>
      <c r="AG85" s="87"/>
      <c r="AH85" s="86"/>
      <c r="AI85" s="88"/>
      <c r="AJ85" s="88"/>
      <c r="AK85" s="89"/>
      <c r="AL85" s="90">
        <f t="shared" si="1"/>
        <v>0</v>
      </c>
    </row>
    <row r="86" spans="1:38" ht="14.25" x14ac:dyDescent="0.45">
      <c r="A86" s="76"/>
      <c r="B86" s="76"/>
      <c r="C86" s="76"/>
      <c r="D86" s="76"/>
      <c r="E86" s="76"/>
      <c r="F86" s="85" t="str">
        <f>IFERROR(VLOOKUP(D86,[1]Data!$A$2:$B$22,2,FALSE),"")</f>
        <v/>
      </c>
      <c r="G86" s="86"/>
      <c r="H86" s="87"/>
      <c r="I86" s="87"/>
      <c r="J86" s="86"/>
      <c r="K86" s="87"/>
      <c r="L86" s="87"/>
      <c r="M86" s="87"/>
      <c r="N86" s="92"/>
      <c r="O86" s="87"/>
      <c r="P86" s="87"/>
      <c r="Q86" s="86"/>
      <c r="R86" s="87"/>
      <c r="S86" s="87"/>
      <c r="T86" s="87"/>
      <c r="U86" s="87"/>
      <c r="V86" s="87"/>
      <c r="W86" s="87"/>
      <c r="X86" s="86"/>
      <c r="Y86" s="87"/>
      <c r="Z86" s="87"/>
      <c r="AA86" s="87"/>
      <c r="AB86" s="87"/>
      <c r="AC86" s="87"/>
      <c r="AD86" s="87"/>
      <c r="AE86" s="86"/>
      <c r="AF86" s="87"/>
      <c r="AG86" s="87"/>
      <c r="AH86" s="87"/>
      <c r="AI86" s="88"/>
      <c r="AJ86" s="88"/>
      <c r="AK86" s="89"/>
      <c r="AL86" s="90">
        <f t="shared" si="1"/>
        <v>0</v>
      </c>
    </row>
    <row r="87" spans="1:38" ht="14.25" x14ac:dyDescent="0.45">
      <c r="A87" s="76"/>
      <c r="B87" s="76"/>
      <c r="C87" s="76"/>
      <c r="D87" s="76"/>
      <c r="E87" s="76"/>
      <c r="F87" s="85" t="str">
        <f>IFERROR(VLOOKUP(D87,[1]Data!$A$2:$B$22,2,FALSE),"")</f>
        <v/>
      </c>
      <c r="G87" s="86"/>
      <c r="H87" s="87"/>
      <c r="I87" s="87"/>
      <c r="J87" s="86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6"/>
      <c r="AF87" s="86"/>
      <c r="AG87" s="87"/>
      <c r="AH87" s="87"/>
      <c r="AI87" s="88"/>
      <c r="AJ87" s="88"/>
      <c r="AK87" s="89"/>
      <c r="AL87" s="90">
        <f t="shared" si="1"/>
        <v>0</v>
      </c>
    </row>
    <row r="88" spans="1:38" ht="14.25" x14ac:dyDescent="0.45">
      <c r="A88" s="76"/>
      <c r="B88" s="76"/>
      <c r="C88" s="76"/>
      <c r="D88" s="76"/>
      <c r="E88" s="76"/>
      <c r="F88" s="85" t="str">
        <f>IFERROR(VLOOKUP(D88,[1]Data!$A$2:$B$22,2,FALSE),"")</f>
        <v/>
      </c>
      <c r="G88" s="86"/>
      <c r="H88" s="87"/>
      <c r="I88" s="87"/>
      <c r="J88" s="86"/>
      <c r="K88" s="87"/>
      <c r="L88" s="87"/>
      <c r="M88" s="87"/>
      <c r="N88" s="87"/>
      <c r="O88" s="87"/>
      <c r="P88" s="87"/>
      <c r="Q88" s="86"/>
      <c r="R88" s="87"/>
      <c r="S88" s="87"/>
      <c r="T88" s="87"/>
      <c r="U88" s="87"/>
      <c r="V88" s="87"/>
      <c r="W88" s="87"/>
      <c r="X88" s="86"/>
      <c r="Y88" s="87"/>
      <c r="Z88" s="87"/>
      <c r="AA88" s="87"/>
      <c r="AB88" s="87"/>
      <c r="AC88" s="87"/>
      <c r="AD88" s="87"/>
      <c r="AE88" s="86"/>
      <c r="AF88" s="87"/>
      <c r="AG88" s="87"/>
      <c r="AH88" s="87"/>
      <c r="AI88" s="88"/>
      <c r="AJ88" s="88"/>
      <c r="AK88" s="89"/>
      <c r="AL88" s="90">
        <f t="shared" si="1"/>
        <v>0</v>
      </c>
    </row>
    <row r="89" spans="1:38" ht="14.25" x14ac:dyDescent="0.45">
      <c r="A89" s="76"/>
      <c r="B89" s="76"/>
      <c r="C89" s="76"/>
      <c r="D89" s="76"/>
      <c r="E89" s="76"/>
      <c r="F89" s="85" t="str">
        <f>IFERROR(VLOOKUP(D89,[1]Data!$A$2:$B$22,2,FALSE),"")</f>
        <v/>
      </c>
      <c r="G89" s="86"/>
      <c r="H89" s="87"/>
      <c r="I89" s="87"/>
      <c r="J89" s="86"/>
      <c r="K89" s="87"/>
      <c r="L89" s="87"/>
      <c r="M89" s="87"/>
      <c r="N89" s="86"/>
      <c r="O89" s="87"/>
      <c r="P89" s="87"/>
      <c r="Q89" s="87"/>
      <c r="R89" s="87"/>
      <c r="S89" s="87"/>
      <c r="T89" s="87"/>
      <c r="U89" s="86"/>
      <c r="V89" s="87"/>
      <c r="W89" s="87"/>
      <c r="X89" s="87"/>
      <c r="Y89" s="87"/>
      <c r="Z89" s="87"/>
      <c r="AA89" s="87"/>
      <c r="AB89" s="87"/>
      <c r="AC89" s="87"/>
      <c r="AD89" s="86"/>
      <c r="AE89" s="86"/>
      <c r="AF89" s="87"/>
      <c r="AG89" s="87"/>
      <c r="AH89" s="87"/>
      <c r="AI89" s="88"/>
      <c r="AJ89" s="88"/>
      <c r="AK89" s="89"/>
      <c r="AL89" s="90">
        <f t="shared" si="1"/>
        <v>0</v>
      </c>
    </row>
    <row r="90" spans="1:38" ht="14.25" x14ac:dyDescent="0.45">
      <c r="A90" s="76"/>
      <c r="B90" s="76"/>
      <c r="C90" s="76"/>
      <c r="D90" s="76"/>
      <c r="E90" s="76"/>
      <c r="F90" s="85" t="str">
        <f>IFERROR(VLOOKUP(D90,[1]Data!$A$2:$B$22,2,FALSE),"")</f>
        <v/>
      </c>
      <c r="G90" s="86"/>
      <c r="H90" s="87"/>
      <c r="I90" s="87"/>
      <c r="J90" s="86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  <c r="AA90" s="86"/>
      <c r="AB90" s="87"/>
      <c r="AC90" s="87"/>
      <c r="AD90" s="86"/>
      <c r="AE90" s="86"/>
      <c r="AF90" s="86"/>
      <c r="AG90" s="87"/>
      <c r="AH90" s="87"/>
      <c r="AI90" s="88"/>
      <c r="AJ90" s="88"/>
      <c r="AK90" s="89"/>
      <c r="AL90" s="90">
        <f t="shared" si="1"/>
        <v>0</v>
      </c>
    </row>
    <row r="91" spans="1:38" ht="14.25" x14ac:dyDescent="0.45">
      <c r="A91" s="76"/>
      <c r="B91" s="76"/>
      <c r="C91" s="76"/>
      <c r="D91" s="76"/>
      <c r="E91" s="76"/>
      <c r="F91" s="85" t="str">
        <f>IFERROR(VLOOKUP(D91,[1]Data!$A$2:$B$22,2,FALSE),"")</f>
        <v/>
      </c>
      <c r="G91" s="86"/>
      <c r="H91" s="87"/>
      <c r="I91" s="87"/>
      <c r="J91" s="86"/>
      <c r="K91" s="87"/>
      <c r="L91" s="87"/>
      <c r="M91" s="87"/>
      <c r="N91" s="87"/>
      <c r="O91" s="87"/>
      <c r="P91" s="87"/>
      <c r="Q91" s="86"/>
      <c r="R91" s="87"/>
      <c r="S91" s="87"/>
      <c r="T91" s="87"/>
      <c r="U91" s="87"/>
      <c r="V91" s="87"/>
      <c r="W91" s="87"/>
      <c r="X91" s="86"/>
      <c r="Y91" s="87"/>
      <c r="Z91" s="87"/>
      <c r="AA91" s="87"/>
      <c r="AB91" s="87"/>
      <c r="AC91" s="87"/>
      <c r="AD91" s="87"/>
      <c r="AE91" s="86"/>
      <c r="AF91" s="87"/>
      <c r="AG91" s="87"/>
      <c r="AH91" s="87"/>
      <c r="AI91" s="88"/>
      <c r="AJ91" s="88"/>
      <c r="AK91" s="89"/>
      <c r="AL91" s="90">
        <f t="shared" si="1"/>
        <v>0</v>
      </c>
    </row>
    <row r="92" spans="1:38" ht="14.25" x14ac:dyDescent="0.45">
      <c r="A92" s="76"/>
      <c r="B92" s="76"/>
      <c r="C92" s="76"/>
      <c r="D92" s="76"/>
      <c r="E92" s="76"/>
      <c r="F92" s="85" t="str">
        <f>IFERROR(VLOOKUP(D92,[1]Data!$A$2:$B$22,2,FALSE),"")</f>
        <v/>
      </c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  <c r="AA92" s="87"/>
      <c r="AB92" s="87"/>
      <c r="AC92" s="87"/>
      <c r="AD92" s="87"/>
      <c r="AE92" s="87"/>
      <c r="AF92" s="87"/>
      <c r="AG92" s="87"/>
      <c r="AH92" s="87"/>
      <c r="AI92" s="88"/>
      <c r="AJ92" s="88"/>
      <c r="AK92" s="89"/>
      <c r="AL92" s="90">
        <f t="shared" si="1"/>
        <v>0</v>
      </c>
    </row>
    <row r="93" spans="1:38" ht="15" customHeight="1" thickBot="1" x14ac:dyDescent="0.5">
      <c r="A93" s="76"/>
      <c r="B93" s="76"/>
      <c r="C93" s="76"/>
      <c r="D93" s="76"/>
      <c r="E93" s="76"/>
      <c r="F93" s="93" t="str">
        <f>IFERROR(VLOOKUP(D93,[1]Data!$A$2:$B$22,2,FALSE),"")</f>
        <v/>
      </c>
      <c r="G93" s="94"/>
      <c r="H93" s="95"/>
      <c r="I93" s="95"/>
      <c r="J93" s="94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4"/>
      <c r="AE93" s="94"/>
      <c r="AF93" s="94"/>
      <c r="AG93" s="95"/>
      <c r="AH93" s="95"/>
      <c r="AI93" s="96"/>
      <c r="AJ93" s="96"/>
      <c r="AK93" s="97"/>
      <c r="AL93" s="98">
        <f t="shared" si="1"/>
        <v>0</v>
      </c>
    </row>
    <row r="94" spans="1:38" ht="18.75" customHeight="1" thickBot="1" x14ac:dyDescent="0.45">
      <c r="AE94" s="102" t="s">
        <v>18</v>
      </c>
      <c r="AF94" s="103"/>
      <c r="AG94" s="103"/>
      <c r="AH94" s="103"/>
      <c r="AI94" s="103"/>
      <c r="AJ94" s="103"/>
      <c r="AK94" s="103"/>
      <c r="AL94" s="104">
        <f>SUM(AL6:AL93)</f>
        <v>0</v>
      </c>
    </row>
    <row r="95" spans="1:38" x14ac:dyDescent="0.4">
      <c r="A95" s="105" t="str">
        <f>CONCATENATE("Yukarıda adı yazılı personeller "&amp;C4&amp;" "&amp;E4&amp;" döneminde toplam "&amp;AL94&amp;" saat ek ders okutmuşlardır.")</f>
        <v>Yukarıda adı yazılı personeller KASIM  döneminde toplam 0 saat ek ders okutmuşlardır.</v>
      </c>
      <c r="B95" s="105"/>
      <c r="C95" s="105"/>
      <c r="D95" s="106"/>
      <c r="E95" s="105"/>
      <c r="F95" s="107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05"/>
      <c r="AD95" s="105"/>
      <c r="AE95" s="61"/>
      <c r="AF95" s="61"/>
      <c r="AG95" s="61"/>
      <c r="AH95" s="61"/>
      <c r="AI95" s="108"/>
      <c r="AJ95" s="108"/>
      <c r="AK95" s="108"/>
      <c r="AL95" s="61"/>
    </row>
    <row r="96" spans="1:38" x14ac:dyDescent="0.4">
      <c r="A96" s="109"/>
      <c r="B96" s="109"/>
      <c r="C96" s="109"/>
      <c r="D96" s="110"/>
      <c r="E96" s="110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108"/>
      <c r="AJ96" s="108"/>
      <c r="AK96" s="108"/>
      <c r="AL96" s="61"/>
    </row>
    <row r="97" spans="1:38" ht="15" customHeight="1" x14ac:dyDescent="0.4">
      <c r="A97" s="111" t="s">
        <v>19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12"/>
      <c r="O97" s="112"/>
      <c r="P97" s="112"/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K97" s="112"/>
      <c r="AL97" s="112"/>
    </row>
    <row r="98" spans="1:38" x14ac:dyDescent="0.4">
      <c r="A98" s="111" t="s">
        <v>20</v>
      </c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</row>
    <row r="99" spans="1:38" x14ac:dyDescent="0.4">
      <c r="A99" s="111" t="s">
        <v>21</v>
      </c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</row>
    <row r="100" spans="1:38" x14ac:dyDescent="0.4">
      <c r="A100" s="111" t="s">
        <v>22</v>
      </c>
      <c r="B100" s="114"/>
      <c r="C100" s="114"/>
      <c r="D100" s="114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</row>
    <row r="101" spans="1:38" ht="15" customHeight="1" x14ac:dyDescent="0.4">
      <c r="A101" s="111"/>
      <c r="B101" s="114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</row>
    <row r="102" spans="1:38" ht="15" customHeight="1" x14ac:dyDescent="0.4">
      <c r="A102" s="111"/>
      <c r="B102" s="114"/>
      <c r="C102" s="114"/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</row>
    <row r="103" spans="1:38" ht="15" customHeight="1" x14ac:dyDescent="0.4">
      <c r="A103" s="111"/>
      <c r="B103" s="114"/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</row>
    <row r="104" spans="1:38" ht="15" customHeight="1" x14ac:dyDescent="0.4">
      <c r="A104" s="111"/>
      <c r="B104" s="114"/>
      <c r="C104" s="114"/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  <c r="AA104" s="114"/>
      <c r="AB104" s="114"/>
      <c r="AC104" s="114"/>
      <c r="AD104" s="114"/>
      <c r="AE104" s="114"/>
      <c r="AF104" s="114"/>
      <c r="AG104" s="114"/>
      <c r="AH104" s="114"/>
      <c r="AI104" s="114"/>
      <c r="AJ104" s="114"/>
      <c r="AK104" s="114"/>
      <c r="AL104" s="114"/>
    </row>
    <row r="105" spans="1:38" ht="15" customHeight="1" x14ac:dyDescent="0.4">
      <c r="A105" s="111"/>
      <c r="B105" s="114"/>
      <c r="C105" s="114"/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  <c r="AA105" s="114"/>
      <c r="AB105" s="114"/>
      <c r="AC105" s="114"/>
      <c r="AD105" s="114"/>
      <c r="AE105" s="114"/>
      <c r="AF105" s="114"/>
      <c r="AG105" s="114"/>
      <c r="AH105" s="114"/>
      <c r="AI105" s="114"/>
      <c r="AJ105" s="114"/>
      <c r="AK105" s="114"/>
      <c r="AL105" s="114"/>
    </row>
    <row r="106" spans="1:38" ht="15" customHeight="1" x14ac:dyDescent="0.4">
      <c r="A106" s="111"/>
      <c r="B106" s="114"/>
      <c r="C106" s="114"/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  <c r="AA106" s="114"/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</row>
    <row r="107" spans="1:38" ht="15" customHeight="1" x14ac:dyDescent="0.4">
      <c r="A107" s="111"/>
      <c r="B107" s="114"/>
      <c r="C107" s="114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  <c r="AD107" s="114"/>
      <c r="AE107" s="114"/>
      <c r="AF107" s="114"/>
      <c r="AG107" s="114"/>
      <c r="AH107" s="114"/>
      <c r="AI107" s="114"/>
      <c r="AJ107" s="114"/>
      <c r="AK107" s="114"/>
      <c r="AL107" s="114"/>
    </row>
    <row r="108" spans="1:38" ht="15" customHeight="1" x14ac:dyDescent="0.4">
      <c r="A108" s="111"/>
      <c r="B108" s="115"/>
      <c r="C108" s="115"/>
      <c r="D108" s="115"/>
      <c r="E108" s="115"/>
      <c r="F108" s="115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7"/>
      <c r="AJ108" s="117"/>
      <c r="AK108" s="117"/>
      <c r="AL108" s="116"/>
    </row>
    <row r="109" spans="1:38" ht="15" customHeight="1" x14ac:dyDescent="0.4">
      <c r="A109" s="111"/>
      <c r="B109" s="115"/>
      <c r="C109" s="115"/>
      <c r="D109" s="115"/>
      <c r="E109" s="115"/>
      <c r="F109" s="115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7"/>
      <c r="AJ109" s="117"/>
      <c r="AK109" s="117"/>
      <c r="AL109" s="116"/>
    </row>
    <row r="110" spans="1:38" ht="15" customHeight="1" x14ac:dyDescent="0.4">
      <c r="A110" s="111"/>
      <c r="B110" s="115"/>
      <c r="C110" s="115"/>
      <c r="D110" s="115"/>
      <c r="E110" s="115"/>
      <c r="F110" s="115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7"/>
      <c r="AJ110" s="117"/>
      <c r="AK110" s="117"/>
      <c r="AL110" s="116"/>
    </row>
    <row r="111" spans="1:38" ht="15" customHeight="1" x14ac:dyDescent="0.4">
      <c r="A111" s="115"/>
      <c r="B111" s="118"/>
      <c r="C111" s="118"/>
      <c r="D111" s="118"/>
      <c r="E111" s="118"/>
      <c r="F111" s="119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0"/>
      <c r="S111" s="120"/>
      <c r="T111" s="120"/>
      <c r="U111" s="120"/>
      <c r="V111" s="120"/>
      <c r="W111" s="120"/>
      <c r="X111" s="120"/>
      <c r="Y111" s="120"/>
      <c r="Z111" s="120"/>
      <c r="AA111" s="120"/>
      <c r="AB111" s="121">
        <f ca="1">TODAY()</f>
        <v>43523</v>
      </c>
      <c r="AC111" s="122"/>
      <c r="AD111" s="122"/>
      <c r="AE111" s="122"/>
      <c r="AF111" s="122"/>
      <c r="AG111" s="122"/>
      <c r="AH111" s="122"/>
      <c r="AI111" s="122"/>
      <c r="AJ111" s="122"/>
      <c r="AK111" s="123"/>
      <c r="AL111" s="120"/>
    </row>
    <row r="112" spans="1:38" ht="15" customHeight="1" x14ac:dyDescent="0.4">
      <c r="A112" s="115"/>
      <c r="B112" s="118"/>
      <c r="C112" s="118"/>
      <c r="D112" s="118"/>
      <c r="E112" s="118"/>
      <c r="F112" s="119"/>
      <c r="G112" s="120"/>
      <c r="H112" s="120"/>
      <c r="I112" s="120"/>
      <c r="J112" s="120"/>
      <c r="K112" s="120"/>
      <c r="L112" s="120"/>
      <c r="M112" s="120"/>
      <c r="N112" s="120"/>
      <c r="O112" s="120"/>
      <c r="P112" s="120"/>
      <c r="Q112" s="120"/>
      <c r="R112" s="120"/>
      <c r="S112" s="120"/>
      <c r="T112" s="120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3"/>
      <c r="AJ112" s="123"/>
      <c r="AK112" s="123"/>
      <c r="AL112" s="120"/>
    </row>
    <row r="113" spans="1:38" ht="15" customHeight="1" x14ac:dyDescent="0.4">
      <c r="A113" s="115"/>
      <c r="B113" s="115"/>
      <c r="C113" s="115"/>
      <c r="D113" s="115"/>
      <c r="E113" s="115"/>
      <c r="F113" s="124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7"/>
      <c r="AJ113" s="117"/>
      <c r="AK113" s="117"/>
      <c r="AL113" s="116"/>
    </row>
    <row r="114" spans="1:38" x14ac:dyDescent="0.4">
      <c r="A114" s="109"/>
      <c r="B114" s="110" t="s">
        <v>16</v>
      </c>
      <c r="C114" s="109"/>
      <c r="D114" s="110"/>
      <c r="E114" s="110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125" t="s">
        <v>16</v>
      </c>
      <c r="AC114" s="125"/>
      <c r="AD114" s="125"/>
      <c r="AE114" s="125"/>
      <c r="AF114" s="125"/>
      <c r="AG114" s="125"/>
      <c r="AH114" s="125"/>
      <c r="AI114" s="125"/>
      <c r="AJ114" s="125"/>
      <c r="AK114" s="126"/>
      <c r="AL114" s="61"/>
    </row>
    <row r="115" spans="1:38" x14ac:dyDescent="0.4">
      <c r="A115" s="109"/>
      <c r="B115" s="110" t="s">
        <v>23</v>
      </c>
      <c r="C115" s="109"/>
      <c r="D115" s="110"/>
      <c r="E115" s="110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125" t="s">
        <v>24</v>
      </c>
      <c r="AC115" s="125"/>
      <c r="AD115" s="125"/>
      <c r="AE115" s="125"/>
      <c r="AF115" s="125"/>
      <c r="AG115" s="125"/>
      <c r="AH115" s="125"/>
      <c r="AI115" s="125"/>
      <c r="AJ115" s="125"/>
      <c r="AK115" s="126"/>
      <c r="AL115" s="61"/>
    </row>
  </sheetData>
  <sheetProtection algorithmName="SHA-512" hashValue="aUvmhfySkUYxzuIfrpimcISbJMWbH1ac+weXdzdIPe7Sxbyf3tXuwXpgYfW6fFodrmvY6s+/TOz6smIiAxeJgQ==" saltValue="7dY/Ine7/gUuLrl3O7L/Eg==" spinCount="100000" sheet="1" objects="1" scenarios="1"/>
  <mergeCells count="54">
    <mergeCell ref="AB114:AJ114"/>
    <mergeCell ref="AB115:AJ115"/>
    <mergeCell ref="B103:AL103"/>
    <mergeCell ref="B104:AL104"/>
    <mergeCell ref="B105:AL105"/>
    <mergeCell ref="B106:AL106"/>
    <mergeCell ref="B107:AL107"/>
    <mergeCell ref="AB111:AJ111"/>
    <mergeCell ref="B97:AL97"/>
    <mergeCell ref="B98:AL98"/>
    <mergeCell ref="B99:AL99"/>
    <mergeCell ref="B100:AL100"/>
    <mergeCell ref="B101:AL101"/>
    <mergeCell ref="B102:AL102"/>
    <mergeCell ref="AL2:AL5"/>
    <mergeCell ref="A3:E3"/>
    <mergeCell ref="A4:B4"/>
    <mergeCell ref="C4:D4"/>
    <mergeCell ref="AE94:AK94"/>
    <mergeCell ref="A95:AD95"/>
    <mergeCell ref="AF2:AF5"/>
    <mergeCell ref="AG2:AG5"/>
    <mergeCell ref="AH2:AH5"/>
    <mergeCell ref="AI2:AI5"/>
    <mergeCell ref="AJ2:AJ5"/>
    <mergeCell ref="AK2:AK5"/>
    <mergeCell ref="Z2:Z5"/>
    <mergeCell ref="AA2:AA5"/>
    <mergeCell ref="AB2:AB5"/>
    <mergeCell ref="AC2:AC5"/>
    <mergeCell ref="AD2:AD5"/>
    <mergeCell ref="AE2:AE5"/>
    <mergeCell ref="T2:T5"/>
    <mergeCell ref="U2:U5"/>
    <mergeCell ref="V2:V5"/>
    <mergeCell ref="W2:W5"/>
    <mergeCell ref="X2:X5"/>
    <mergeCell ref="Y2:Y5"/>
    <mergeCell ref="N2:N5"/>
    <mergeCell ref="O2:O5"/>
    <mergeCell ref="P2:P5"/>
    <mergeCell ref="Q2:Q5"/>
    <mergeCell ref="R2:R5"/>
    <mergeCell ref="S2:S5"/>
    <mergeCell ref="A1:AL1"/>
    <mergeCell ref="A2:E2"/>
    <mergeCell ref="F2:F5"/>
    <mergeCell ref="G2:G5"/>
    <mergeCell ref="H2:H5"/>
    <mergeCell ref="I2:I5"/>
    <mergeCell ref="J2:J5"/>
    <mergeCell ref="K2:K5"/>
    <mergeCell ref="L2:L5"/>
    <mergeCell ref="M2:M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A8FF12-CCFD-43CD-B31B-3FBEDE833A7C}">
          <x14:formula1>
            <xm:f>Sayfa1!$A$4:$A$15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EF9B5-A02F-4497-A850-EC9FC22D09BC}">
  <dimension ref="A3:C15"/>
  <sheetViews>
    <sheetView workbookViewId="0">
      <selection activeCell="C4" sqref="C4"/>
    </sheetView>
  </sheetViews>
  <sheetFormatPr defaultRowHeight="14.25" x14ac:dyDescent="0.45"/>
  <cols>
    <col min="1" max="1" width="18.265625" bestFit="1" customWidth="1"/>
    <col min="2" max="2" width="22" style="35" bestFit="1" customWidth="1"/>
    <col min="3" max="3" width="21.19921875" customWidth="1"/>
  </cols>
  <sheetData>
    <row r="3" spans="1:3" ht="15.4" x14ac:dyDescent="0.45">
      <c r="A3" s="1" t="s">
        <v>0</v>
      </c>
      <c r="B3" s="1" t="s">
        <v>1</v>
      </c>
      <c r="C3" s="1" t="s">
        <v>25</v>
      </c>
    </row>
    <row r="4" spans="1:3" ht="15.4" x14ac:dyDescent="0.45">
      <c r="A4" s="2" t="s">
        <v>2</v>
      </c>
      <c r="B4" s="3">
        <v>43466</v>
      </c>
      <c r="C4" s="4"/>
    </row>
    <row r="5" spans="1:3" ht="15.4" x14ac:dyDescent="0.45">
      <c r="A5" s="2" t="s">
        <v>3</v>
      </c>
      <c r="B5" s="44"/>
      <c r="C5" s="4"/>
    </row>
    <row r="6" spans="1:3" ht="15.4" x14ac:dyDescent="0.45">
      <c r="A6" s="2" t="s">
        <v>4</v>
      </c>
      <c r="B6" s="44"/>
      <c r="C6" s="4"/>
    </row>
    <row r="7" spans="1:3" ht="15.4" x14ac:dyDescent="0.45">
      <c r="A7" s="2" t="s">
        <v>5</v>
      </c>
      <c r="B7" s="44"/>
      <c r="C7" s="4"/>
    </row>
    <row r="8" spans="1:3" ht="15.4" x14ac:dyDescent="0.45">
      <c r="A8" s="2" t="s">
        <v>6</v>
      </c>
      <c r="B8" s="44"/>
      <c r="C8" s="4"/>
    </row>
    <row r="9" spans="1:3" ht="15.4" x14ac:dyDescent="0.45">
      <c r="A9" s="2" t="s">
        <v>7</v>
      </c>
      <c r="B9" s="44"/>
      <c r="C9" s="4"/>
    </row>
    <row r="10" spans="1:3" ht="15.4" x14ac:dyDescent="0.45">
      <c r="A10" s="2" t="s">
        <v>8</v>
      </c>
      <c r="B10" s="44"/>
      <c r="C10" s="4"/>
    </row>
    <row r="11" spans="1:3" ht="15.4" x14ac:dyDescent="0.45">
      <c r="A11" s="2" t="s">
        <v>9</v>
      </c>
      <c r="B11" s="44"/>
      <c r="C11" s="4"/>
    </row>
    <row r="12" spans="1:3" ht="15.4" x14ac:dyDescent="0.45">
      <c r="A12" s="2" t="s">
        <v>10</v>
      </c>
      <c r="B12" s="44"/>
      <c r="C12" s="4"/>
    </row>
    <row r="13" spans="1:3" ht="15.4" x14ac:dyDescent="0.45">
      <c r="A13" s="2" t="s">
        <v>11</v>
      </c>
      <c r="B13" s="44"/>
      <c r="C13" s="4"/>
    </row>
    <row r="14" spans="1:3" ht="15.4" x14ac:dyDescent="0.45">
      <c r="A14" s="2" t="s">
        <v>12</v>
      </c>
      <c r="B14" s="44"/>
      <c r="C14" s="4"/>
    </row>
    <row r="15" spans="1:3" ht="15.4" x14ac:dyDescent="0.45">
      <c r="A15" s="2" t="s">
        <v>13</v>
      </c>
      <c r="B15" s="44"/>
      <c r="C1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DCB0-AEB8-4C43-917F-8A2430D2AA8A}">
  <dimension ref="A1:AN9"/>
  <sheetViews>
    <sheetView workbookViewId="0">
      <selection activeCell="G2" sqref="G2:G5"/>
    </sheetView>
  </sheetViews>
  <sheetFormatPr defaultColWidth="9.1328125" defaultRowHeight="14.25" x14ac:dyDescent="0.45"/>
  <cols>
    <col min="1" max="1" width="3.59765625" customWidth="1"/>
    <col min="2" max="2" width="3.73046875" customWidth="1"/>
    <col min="3" max="3" width="11" customWidth="1"/>
    <col min="4" max="4" width="9" customWidth="1"/>
    <col min="5" max="5" width="5.6640625" customWidth="1"/>
    <col min="6" max="6" width="4.59765625" customWidth="1"/>
    <col min="7" max="37" width="2.86328125" customWidth="1"/>
    <col min="38" max="38" width="6.1328125" customWidth="1"/>
    <col min="39" max="40" width="10.73046875" customWidth="1"/>
    <col min="41" max="41" width="37.59765625" customWidth="1"/>
  </cols>
  <sheetData>
    <row r="1" spans="1:40" s="9" customFormat="1" ht="21" customHeight="1" thickBot="1" x14ac:dyDescent="0.45">
      <c r="A1" s="5"/>
      <c r="B1" s="5"/>
      <c r="C1" s="5"/>
      <c r="D1" s="5"/>
      <c r="E1" s="5"/>
      <c r="F1" s="6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8"/>
      <c r="AN1" s="8"/>
    </row>
    <row r="2" spans="1:40" s="9" customFormat="1" ht="15" customHeight="1" x14ac:dyDescent="0.4">
      <c r="A2" s="10"/>
      <c r="B2" s="10"/>
      <c r="C2" s="10"/>
      <c r="D2" s="10"/>
      <c r="E2" s="11"/>
      <c r="F2" s="12" t="s">
        <v>14</v>
      </c>
      <c r="G2" s="41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13" t="s">
        <v>15</v>
      </c>
      <c r="AM2" s="8"/>
      <c r="AN2" s="8"/>
    </row>
    <row r="3" spans="1:40" s="9" customFormat="1" ht="18.75" customHeight="1" x14ac:dyDescent="0.4">
      <c r="A3" s="14"/>
      <c r="B3" s="14"/>
      <c r="C3" s="14"/>
      <c r="D3" s="14"/>
      <c r="E3" s="15"/>
      <c r="F3" s="16"/>
      <c r="G3" s="42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17"/>
      <c r="AM3" s="8"/>
      <c r="AN3" s="8"/>
    </row>
    <row r="4" spans="1:40" s="20" customFormat="1" ht="15.75" customHeight="1" x14ac:dyDescent="0.45">
      <c r="A4" s="18"/>
      <c r="B4" s="18"/>
      <c r="C4" s="36" t="s">
        <v>10</v>
      </c>
      <c r="D4" s="37"/>
      <c r="E4" s="19"/>
      <c r="F4" s="16"/>
      <c r="G4" s="42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17"/>
    </row>
    <row r="5" spans="1:40" s="20" customFormat="1" ht="18.75" customHeight="1" thickBot="1" x14ac:dyDescent="0.5">
      <c r="A5"/>
      <c r="B5"/>
      <c r="C5"/>
      <c r="D5"/>
      <c r="E5"/>
      <c r="F5" s="21"/>
      <c r="G5" s="43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22"/>
    </row>
    <row r="6" spans="1:40" s="20" customFormat="1" x14ac:dyDescent="0.45">
      <c r="A6"/>
      <c r="B6"/>
      <c r="C6"/>
      <c r="D6"/>
      <c r="E6"/>
      <c r="F6" s="23" t="str">
        <f>IFERROR(VLOOKUP(D6,[1]Data!$A$2:$B$22,2,FALSE),"")</f>
        <v/>
      </c>
      <c r="G6" s="24"/>
      <c r="H6" s="25"/>
      <c r="I6" s="25"/>
      <c r="J6" s="24"/>
      <c r="K6" s="25"/>
      <c r="L6" s="25"/>
      <c r="M6" s="25"/>
      <c r="N6" s="25"/>
      <c r="O6" s="25"/>
      <c r="P6" s="25"/>
      <c r="Q6" s="24"/>
      <c r="R6" s="25"/>
      <c r="S6" s="25"/>
      <c r="T6" s="25"/>
      <c r="U6" s="25"/>
      <c r="V6" s="25"/>
      <c r="W6" s="25"/>
      <c r="X6" s="24"/>
      <c r="Y6" s="25"/>
      <c r="Z6" s="25"/>
      <c r="AA6" s="25"/>
      <c r="AB6" s="25"/>
      <c r="AC6" s="25"/>
      <c r="AD6" s="25"/>
      <c r="AE6" s="24"/>
      <c r="AF6" s="25"/>
      <c r="AG6" s="25"/>
      <c r="AH6" s="25"/>
      <c r="AI6" s="26"/>
      <c r="AJ6" s="26"/>
      <c r="AK6" s="27"/>
      <c r="AL6" s="28">
        <f>SUM(G6:AK6)</f>
        <v>0</v>
      </c>
    </row>
    <row r="7" spans="1:40" s="20" customFormat="1" x14ac:dyDescent="0.45">
      <c r="A7"/>
      <c r="B7"/>
      <c r="C7"/>
      <c r="D7"/>
      <c r="E7"/>
      <c r="F7" s="29" t="str">
        <f>IFERROR(VLOOKUP(D7,[1]Data!$A$2:$B$22,2,FALSE),"")</f>
        <v/>
      </c>
      <c r="G7" s="30"/>
      <c r="H7" s="31"/>
      <c r="I7" s="31"/>
      <c r="J7" s="30"/>
      <c r="K7" s="31"/>
      <c r="L7" s="31"/>
      <c r="M7" s="31"/>
      <c r="N7" s="31"/>
      <c r="O7" s="31"/>
      <c r="P7" s="31"/>
      <c r="Q7" s="30"/>
      <c r="R7" s="31"/>
      <c r="S7" s="31"/>
      <c r="T7" s="31"/>
      <c r="U7" s="31"/>
      <c r="V7" s="31"/>
      <c r="W7" s="31"/>
      <c r="X7" s="30"/>
      <c r="Y7" s="31"/>
      <c r="Z7" s="31"/>
      <c r="AA7" s="31"/>
      <c r="AB7" s="31"/>
      <c r="AC7" s="31"/>
      <c r="AD7" s="31"/>
      <c r="AE7" s="30"/>
      <c r="AF7" s="31"/>
      <c r="AG7" s="31"/>
      <c r="AH7" s="31"/>
      <c r="AI7" s="32"/>
      <c r="AJ7" s="32"/>
      <c r="AK7" s="33"/>
      <c r="AL7" s="34">
        <f>SUM(G7:AK7)</f>
        <v>0</v>
      </c>
    </row>
    <row r="8" spans="1:40" s="20" customFormat="1" x14ac:dyDescent="0.45">
      <c r="A8"/>
      <c r="B8"/>
      <c r="C8"/>
      <c r="D8"/>
      <c r="E8"/>
      <c r="F8" s="29" t="str">
        <f>IFERROR(VLOOKUP(D8,[1]Data!$A$2:$B$22,2,FALSE),"")</f>
        <v/>
      </c>
      <c r="G8" s="30"/>
      <c r="H8" s="31"/>
      <c r="I8" s="31"/>
      <c r="J8" s="30"/>
      <c r="K8" s="31"/>
      <c r="L8" s="31"/>
      <c r="M8" s="31"/>
      <c r="N8" s="31"/>
      <c r="O8" s="31"/>
      <c r="P8" s="31"/>
      <c r="Q8" s="30"/>
      <c r="R8" s="31"/>
      <c r="S8" s="31"/>
      <c r="T8" s="31"/>
      <c r="U8" s="31"/>
      <c r="V8" s="31"/>
      <c r="W8" s="31"/>
      <c r="X8" s="30"/>
      <c r="Y8" s="31"/>
      <c r="Z8" s="31"/>
      <c r="AA8" s="31"/>
      <c r="AB8" s="31"/>
      <c r="AC8" s="31"/>
      <c r="AD8" s="31"/>
      <c r="AE8" s="30"/>
      <c r="AF8" s="31"/>
      <c r="AG8" s="31"/>
      <c r="AH8" s="31"/>
      <c r="AI8" s="32"/>
      <c r="AJ8" s="32"/>
      <c r="AK8" s="33"/>
      <c r="AL8" s="34">
        <f t="shared" ref="AL8:AL9" si="0">SUM(G8:AK8)</f>
        <v>0</v>
      </c>
    </row>
    <row r="9" spans="1:40" s="20" customFormat="1" x14ac:dyDescent="0.45">
      <c r="A9"/>
      <c r="B9"/>
      <c r="C9"/>
      <c r="D9"/>
      <c r="E9"/>
      <c r="F9" s="29" t="str">
        <f>IFERROR(VLOOKUP(D9,[1]Data!$A$2:$B$22,2,FALSE),"")</f>
        <v/>
      </c>
      <c r="G9" s="30"/>
      <c r="H9" s="31"/>
      <c r="I9" s="31"/>
      <c r="J9" s="30"/>
      <c r="K9" s="31"/>
      <c r="L9" s="31"/>
      <c r="M9" s="31"/>
      <c r="N9" s="31"/>
      <c r="O9" s="31"/>
      <c r="P9" s="31"/>
      <c r="Q9" s="30"/>
      <c r="R9" s="31"/>
      <c r="S9" s="31"/>
      <c r="T9" s="31"/>
      <c r="U9" s="31"/>
      <c r="V9" s="31"/>
      <c r="W9" s="31"/>
      <c r="X9" s="30"/>
      <c r="Y9" s="31"/>
      <c r="Z9" s="31"/>
      <c r="AA9" s="31"/>
      <c r="AB9" s="31"/>
      <c r="AC9" s="31"/>
      <c r="AD9" s="31"/>
      <c r="AE9" s="30"/>
      <c r="AF9" s="31"/>
      <c r="AG9" s="31"/>
      <c r="AH9" s="31"/>
      <c r="AI9" s="32"/>
      <c r="AJ9" s="32"/>
      <c r="AK9" s="33"/>
      <c r="AL9" s="34">
        <f t="shared" si="0"/>
        <v>0</v>
      </c>
    </row>
  </sheetData>
  <mergeCells count="38">
    <mergeCell ref="AL2:AL5"/>
    <mergeCell ref="A3:E3"/>
    <mergeCell ref="A4:B4"/>
    <mergeCell ref="C4:D4"/>
    <mergeCell ref="AF2:AF5"/>
    <mergeCell ref="AG2:AG5"/>
    <mergeCell ref="AH2:AH5"/>
    <mergeCell ref="AI2:AI5"/>
    <mergeCell ref="AJ2:AJ5"/>
    <mergeCell ref="AK2:AK5"/>
    <mergeCell ref="Z2:Z5"/>
    <mergeCell ref="AA2:AA5"/>
    <mergeCell ref="AB2:AB5"/>
    <mergeCell ref="AC2:AC5"/>
    <mergeCell ref="AD2:AD5"/>
    <mergeCell ref="AE2:AE5"/>
    <mergeCell ref="T2:T5"/>
    <mergeCell ref="U2:U5"/>
    <mergeCell ref="V2:V5"/>
    <mergeCell ref="W2:W5"/>
    <mergeCell ref="X2:X5"/>
    <mergeCell ref="Y2:Y5"/>
    <mergeCell ref="N2:N5"/>
    <mergeCell ref="O2:O5"/>
    <mergeCell ref="P2:P5"/>
    <mergeCell ref="Q2:Q5"/>
    <mergeCell ref="R2:R5"/>
    <mergeCell ref="S2:S5"/>
    <mergeCell ref="A1:AL1"/>
    <mergeCell ref="A2:E2"/>
    <mergeCell ref="F2:F5"/>
    <mergeCell ref="G2:G5"/>
    <mergeCell ref="H2:H5"/>
    <mergeCell ref="I2:I5"/>
    <mergeCell ref="J2:J5"/>
    <mergeCell ref="K2:K5"/>
    <mergeCell ref="L2:L5"/>
    <mergeCell ref="M2:M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1D38FB-A181-4E6D-8BC2-389349207D0D}">
          <x14:formula1>
            <xm:f>Aylar!$A$4:$A$15</xm:f>
          </x14:formula1>
          <xm:sqref>C4:D4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Sayfa1</vt:lpstr>
      <vt:lpstr>Sayfa2</vt:lpstr>
      <vt:lpstr>Aylar</vt:lpstr>
      <vt:lpstr>Liste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dcterms:created xsi:type="dcterms:W3CDTF">2019-02-27T18:39:09Z</dcterms:created>
  <dcterms:modified xsi:type="dcterms:W3CDTF">2019-02-27T20:28:55Z</dcterms:modified>
</cp:coreProperties>
</file>