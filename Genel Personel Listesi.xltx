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cbookPRO\Desktop\ileriexcel\"/>
    </mc:Choice>
  </mc:AlternateContent>
  <xr:revisionPtr revIDLastSave="0" documentId="13_ncr:1_{C05A3C25-ED98-448A-BFC1-BACE62337D2B}" xr6:coauthVersionLast="44" xr6:coauthVersionMax="44" xr10:uidLastSave="{00000000-0000-0000-0000-000000000000}"/>
  <bookViews>
    <workbookView xWindow="-98" yWindow="-98" windowWidth="19396" windowHeight="11596" activeTab="2" xr2:uid="{AAD701E9-845E-47D2-889D-F5A3CAC09C4C}"/>
  </bookViews>
  <sheets>
    <sheet name="Güncel Personel Listesi" sheetId="5" r:id="rId1"/>
    <sheet name="Ayrılanlar" sheetId="4" r:id="rId2"/>
    <sheet name="Personel Listesi" sheetId="1" r:id="rId3"/>
    <sheet name="SGK Kodları" sheetId="2" r:id="rId4"/>
  </sheets>
  <definedNames>
    <definedName name="_xlnm._FilterDatabase" localSheetId="2" hidden="1">'Personel Listesi'!$A$1:$I$416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5" i="1" l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" i="1"/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</calcChain>
</file>

<file path=xl/sharedStrings.xml><?xml version="1.0" encoding="utf-8"?>
<sst xmlns="http://schemas.openxmlformats.org/spreadsheetml/2006/main" count="872" uniqueCount="485">
  <si>
    <t>Cengiz Aldırmaz</t>
  </si>
  <si>
    <t>Erol Kutucu</t>
  </si>
  <si>
    <t>Cemile Diren</t>
  </si>
  <si>
    <t>Aysun Fatih</t>
  </si>
  <si>
    <t>Dilek Gürcü</t>
  </si>
  <si>
    <t>Murat Büyükdereli</t>
  </si>
  <si>
    <t>Mehmet Pınar</t>
  </si>
  <si>
    <t>Mustafa Emre</t>
  </si>
  <si>
    <t>Mehmet Türksoy</t>
  </si>
  <si>
    <t>Suat Sarıgül</t>
  </si>
  <si>
    <t>Engin Uzuner</t>
  </si>
  <si>
    <t>Esra Karadeniz</t>
  </si>
  <si>
    <t>Mustafa Akgül</t>
  </si>
  <si>
    <t>Emre Kelekci</t>
  </si>
  <si>
    <t>Alper Osman</t>
  </si>
  <si>
    <t>Ayla Özler</t>
  </si>
  <si>
    <t>Galip Seyit</t>
  </si>
  <si>
    <t>Ozan Erkoç</t>
  </si>
  <si>
    <t>Şan Uysal</t>
  </si>
  <si>
    <t>Mehmet Ali</t>
  </si>
  <si>
    <t>Süleyman Karamete</t>
  </si>
  <si>
    <t xml:space="preserve">Selahattin </t>
  </si>
  <si>
    <t>Fatih Ekinci</t>
  </si>
  <si>
    <t>Fatoş İrem</t>
  </si>
  <si>
    <t>Irem Çatıkkaş</t>
  </si>
  <si>
    <t>Mehmet Kahraman</t>
  </si>
  <si>
    <t>Mustafa Eyup</t>
  </si>
  <si>
    <t>Mustafa Coskun</t>
  </si>
  <si>
    <t>Kübra Coskun</t>
  </si>
  <si>
    <t>Erhan Öztürk</t>
  </si>
  <si>
    <t>Emine Oruc</t>
  </si>
  <si>
    <t>Sercan Demirtaş</t>
  </si>
  <si>
    <t>Gülşah Aygün</t>
  </si>
  <si>
    <t>Akın Acar</t>
  </si>
  <si>
    <t>Ömer Öner</t>
  </si>
  <si>
    <t>Engin Oglago</t>
  </si>
  <si>
    <t>Şule Örs</t>
  </si>
  <si>
    <t>Uğur Gültaş</t>
  </si>
  <si>
    <t>Fazlı Kolçak</t>
  </si>
  <si>
    <t>Harika Ali</t>
  </si>
  <si>
    <t>Ersin Atmaca</t>
  </si>
  <si>
    <t>Volkan Öztürk</t>
  </si>
  <si>
    <t>Çağla Büyükdoğu</t>
  </si>
  <si>
    <t>Sabire Çelen</t>
  </si>
  <si>
    <t>Gamze Ozden</t>
  </si>
  <si>
    <t>Mahmut Di̇No</t>
  </si>
  <si>
    <t>Evren Canbazoğlu</t>
  </si>
  <si>
    <t xml:space="preserve">Mustafa </t>
  </si>
  <si>
    <t>Ali Sağır</t>
  </si>
  <si>
    <t>Abdülkerim Şiranlı</t>
  </si>
  <si>
    <t>Fazlı Uçar</t>
  </si>
  <si>
    <t>Turan Sertac</t>
  </si>
  <si>
    <t>Hasan Özdemir</t>
  </si>
  <si>
    <t>Gizem Anıl</t>
  </si>
  <si>
    <t>Onur Çelik</t>
  </si>
  <si>
    <t>Miraç Korkmaz</t>
  </si>
  <si>
    <t>Begum Kartal</t>
  </si>
  <si>
    <t>Emre Aynur</t>
  </si>
  <si>
    <t>Ali Yeşildağ</t>
  </si>
  <si>
    <t>Vedat Güneş</t>
  </si>
  <si>
    <t>Esin Ozkan</t>
  </si>
  <si>
    <t>Ece Görkem</t>
  </si>
  <si>
    <t>Murat Sazaklıoglu</t>
  </si>
  <si>
    <t>Aziza Vural</t>
  </si>
  <si>
    <t>Aslı Şimşir</t>
  </si>
  <si>
    <t>Hakan Aşar</t>
  </si>
  <si>
    <t>Rıza Alanlı</t>
  </si>
  <si>
    <t>İrfan Karaca</t>
  </si>
  <si>
    <t>Ali Bayram</t>
  </si>
  <si>
    <t>Gökhan Tokel</t>
  </si>
  <si>
    <t>Hatice Kaynar</t>
  </si>
  <si>
    <t>Ertürk Çabat</t>
  </si>
  <si>
    <t>Emre Demirci</t>
  </si>
  <si>
    <t>Nanifer Birbaş</t>
  </si>
  <si>
    <t>Özgür Tekin</t>
  </si>
  <si>
    <t>Keziban Konca</t>
  </si>
  <si>
    <t>Adil Ersoy</t>
  </si>
  <si>
    <t>Çağatay Odabas</t>
  </si>
  <si>
    <t>Sami Hakki</t>
  </si>
  <si>
    <t>Nihat Tutak</t>
  </si>
  <si>
    <t>Ozden Tarkan</t>
  </si>
  <si>
    <t>Batuhan.Sert Merhametli</t>
  </si>
  <si>
    <t>Onur Avcı</t>
  </si>
  <si>
    <t>Öznur Demircan</t>
  </si>
  <si>
    <t>Ahmet Topal</t>
  </si>
  <si>
    <t>Mihrican Mühürhancı</t>
  </si>
  <si>
    <t>Cüneyt Ulus</t>
  </si>
  <si>
    <t>Elif Yalvaç</t>
  </si>
  <si>
    <t>Eyüp Kılıç</t>
  </si>
  <si>
    <t>Türkmen Çelik</t>
  </si>
  <si>
    <t>Ahmet Yılmaz</t>
  </si>
  <si>
    <t>Akın Cahan</t>
  </si>
  <si>
    <t>Barış Çolak</t>
  </si>
  <si>
    <t>Fatih Köroğlu</t>
  </si>
  <si>
    <t>Edip Önel</t>
  </si>
  <si>
    <t>Melis Aydoğan</t>
  </si>
  <si>
    <t>Hanefi Delay</t>
  </si>
  <si>
    <t>Çi̇Ğdem Öztürk</t>
  </si>
  <si>
    <t>Hamza Can</t>
  </si>
  <si>
    <t>Neslihan Öztürk</t>
  </si>
  <si>
    <t>Emine Acar</t>
  </si>
  <si>
    <t xml:space="preserve">Münevver </t>
  </si>
  <si>
    <t>Mercan Dilek</t>
  </si>
  <si>
    <t>Meltem Uğur</t>
  </si>
  <si>
    <t>İbrahim Ferit</t>
  </si>
  <si>
    <t>Nurali Erdoğan</t>
  </si>
  <si>
    <t>Bilge Tazebahar</t>
  </si>
  <si>
    <t>Volkan Yaşar</t>
  </si>
  <si>
    <t>Taşçı Bektaş</t>
  </si>
  <si>
    <t>Erkan Altunoğlu</t>
  </si>
  <si>
    <t>Ceylan Bahtlı</t>
  </si>
  <si>
    <t>Mehmet Çoker</t>
  </si>
  <si>
    <t>Mustafa Gulkaya</t>
  </si>
  <si>
    <t>İ̇̇̇̇̇̇̇̇̇̇̇̇Rfan Çallı</t>
  </si>
  <si>
    <t>Merve Gökyıldırım</t>
  </si>
  <si>
    <t>Abdullah Temizkan</t>
  </si>
  <si>
    <t>Yakup Özcan</t>
  </si>
  <si>
    <t>Esad Gençkal</t>
  </si>
  <si>
    <t>Doğukan Ali</t>
  </si>
  <si>
    <t>Gençer Atılgan</t>
  </si>
  <si>
    <t>Murat Alkan</t>
  </si>
  <si>
    <t>Sibel Baltacı</t>
  </si>
  <si>
    <t>Muhittin Kaya</t>
  </si>
  <si>
    <t>Abdurrahim Şanlı</t>
  </si>
  <si>
    <t>Fırat Yaman</t>
  </si>
  <si>
    <t>Kenan Özmen</t>
  </si>
  <si>
    <t>Merve Şahan</t>
  </si>
  <si>
    <t>Özgür Bilmis</t>
  </si>
  <si>
    <t>Tolga Kaya</t>
  </si>
  <si>
    <t>Burkay Hatip</t>
  </si>
  <si>
    <t>Mustafa Aydın</t>
  </si>
  <si>
    <t>Barış Taylan</t>
  </si>
  <si>
    <t>Aylin Tutaroğlu</t>
  </si>
  <si>
    <t>Anıl Bilmis</t>
  </si>
  <si>
    <t>Vehbi Baş</t>
  </si>
  <si>
    <t>Özlem Kalay</t>
  </si>
  <si>
    <t>Deniz Eyüp</t>
  </si>
  <si>
    <t>Ferhat Karakuzu</t>
  </si>
  <si>
    <t>Seda Bağ</t>
  </si>
  <si>
    <t>Ahmet Vtn</t>
  </si>
  <si>
    <t>Serkan Ersoy</t>
  </si>
  <si>
    <t>Ayşegül Vtn</t>
  </si>
  <si>
    <t>Mert İşen</t>
  </si>
  <si>
    <t>Arzucoskunbodrum@Gmail.Com Burak</t>
  </si>
  <si>
    <t>Tolga Mumcu</t>
  </si>
  <si>
    <t>Fırat Kılıç</t>
  </si>
  <si>
    <t>Mehmet Güngör</t>
  </si>
  <si>
    <t>Murat Ayvaz</t>
  </si>
  <si>
    <t>Murat Kartal</t>
  </si>
  <si>
    <t>Yasemin Toker</t>
  </si>
  <si>
    <t>Can Irfanoglu</t>
  </si>
  <si>
    <t>Murat Kantarcı</t>
  </si>
  <si>
    <t>Ali Sağlam</t>
  </si>
  <si>
    <t>Oray Taşgın</t>
  </si>
  <si>
    <t>Sinan Şenkal</t>
  </si>
  <si>
    <t>Ayhan Faruk</t>
  </si>
  <si>
    <t>Burcu Sabak</t>
  </si>
  <si>
    <t xml:space="preserve">Topkaraoglu </t>
  </si>
  <si>
    <t>Nebahat Ongun</t>
  </si>
  <si>
    <t>Fatih Alkan</t>
  </si>
  <si>
    <t>Ahmet Can</t>
  </si>
  <si>
    <t>Fazlı Aygen</t>
  </si>
  <si>
    <t>Elif Ünal</t>
  </si>
  <si>
    <t>Erdinç Yazıcı</t>
  </si>
  <si>
    <t>Esin Merve</t>
  </si>
  <si>
    <t>Durdane Köse</t>
  </si>
  <si>
    <t>Filiz Ender</t>
  </si>
  <si>
    <t>Levent Gerez</t>
  </si>
  <si>
    <t>Nilgün Sevinç</t>
  </si>
  <si>
    <t>Fuat Torkut</t>
  </si>
  <si>
    <t>İsmail Yakışık</t>
  </si>
  <si>
    <t>Orçun Uçar</t>
  </si>
  <si>
    <t>Ali Semiz</t>
  </si>
  <si>
    <t>Esma Ilıcalı</t>
  </si>
  <si>
    <t>Resul Arıkan</t>
  </si>
  <si>
    <t>Tunca Genç</t>
  </si>
  <si>
    <t>Şinasi Boztepe</t>
  </si>
  <si>
    <t>Emirhan Cingöz</t>
  </si>
  <si>
    <t>Meltem Özcan</t>
  </si>
  <si>
    <t>Erol Erkeği</t>
  </si>
  <si>
    <t>Said Sayar</t>
  </si>
  <si>
    <t>Osman İşen</t>
  </si>
  <si>
    <t>Aslıhan Erkilet</t>
  </si>
  <si>
    <t>Mehmet Aslan</t>
  </si>
  <si>
    <t>Çağdaş Işcan</t>
  </si>
  <si>
    <t>Fatıma Öney</t>
  </si>
  <si>
    <t>Turgut Karabürk</t>
  </si>
  <si>
    <t>Mehmet Öner</t>
  </si>
  <si>
    <t xml:space="preserve">Hüseyin </t>
  </si>
  <si>
    <t>Engin Güler</t>
  </si>
  <si>
    <t>Batuhan İ̇̇̇̇̇̇Ğdir</t>
  </si>
  <si>
    <t>Soner Celik</t>
  </si>
  <si>
    <t>Uğur Şanlı</t>
  </si>
  <si>
    <t>Esma Öktem</t>
  </si>
  <si>
    <t>Ahmet Çelik</t>
  </si>
  <si>
    <t>Seçil Kısacık</t>
  </si>
  <si>
    <t>Can Tekin</t>
  </si>
  <si>
    <t>Fevzi Günyılmaz</t>
  </si>
  <si>
    <t>Gökhan Karaosmanoğlu</t>
  </si>
  <si>
    <t>Adem Şahan</t>
  </si>
  <si>
    <t>Özgür Ağdağ</t>
  </si>
  <si>
    <t>Alper Ertan</t>
  </si>
  <si>
    <t>Ahmet Fatih</t>
  </si>
  <si>
    <t>Gokhan Alşan</t>
  </si>
  <si>
    <t>Medine Uçar</t>
  </si>
  <si>
    <t>Süleyman Tarık</t>
  </si>
  <si>
    <t>Ilhan Ozer</t>
  </si>
  <si>
    <t>Irem Sencer</t>
  </si>
  <si>
    <t>Cüneyt Olçum</t>
  </si>
  <si>
    <t>Servet Özkasım</t>
  </si>
  <si>
    <t>Gülpınar Sayın</t>
  </si>
  <si>
    <t>Cengiz Çalışkan</t>
  </si>
  <si>
    <t>Ramazan Barış</t>
  </si>
  <si>
    <t>Ömer Oral</t>
  </si>
  <si>
    <t>Bilal Saygin</t>
  </si>
  <si>
    <t>Natalya Demirci</t>
  </si>
  <si>
    <t>Taylan Bora</t>
  </si>
  <si>
    <t>Hasan Erciyes</t>
  </si>
  <si>
    <t>Abdullah Fath</t>
  </si>
  <si>
    <t>Nesli̇Han Erhotamış</t>
  </si>
  <si>
    <t>Şule Kaçmaz</t>
  </si>
  <si>
    <t>Ayşegül Aşar</t>
  </si>
  <si>
    <t>Ismail Durmaz</t>
  </si>
  <si>
    <t>Harun Bingöl</t>
  </si>
  <si>
    <t>Derya.Yildiz Nur</t>
  </si>
  <si>
    <t>Veyseldarcan Tarhan</t>
  </si>
  <si>
    <t>Hüseyin Bektaş</t>
  </si>
  <si>
    <t>Büşra Özkan</t>
  </si>
  <si>
    <t>Ayda Köseoğlu</t>
  </si>
  <si>
    <t>Fazlı Şen</t>
  </si>
  <si>
    <t>Barış Akı</t>
  </si>
  <si>
    <t>Muhammet Güner</t>
  </si>
  <si>
    <t>Emre Kahyaoğulları</t>
  </si>
  <si>
    <t>Akın Taşdemir</t>
  </si>
  <si>
    <t>Havva Dilamac</t>
  </si>
  <si>
    <t>Hülya Alpaslan</t>
  </si>
  <si>
    <t>Fuat Kan</t>
  </si>
  <si>
    <t>Şükrü Alpay</t>
  </si>
  <si>
    <t>Ozden Oral</t>
  </si>
  <si>
    <t>Mehmet Topal</t>
  </si>
  <si>
    <t xml:space="preserve">Ibrahim </t>
  </si>
  <si>
    <t>Arda Taş</t>
  </si>
  <si>
    <t>Cansu Yiğit</t>
  </si>
  <si>
    <t>Ayşe Tüylü</t>
  </si>
  <si>
    <t>Mustafa Doğan</t>
  </si>
  <si>
    <t>Şeb Gülşen</t>
  </si>
  <si>
    <t>Erhan Evecen</t>
  </si>
  <si>
    <t>Cihat Pakna</t>
  </si>
  <si>
    <t>Şeyhmus Kuzu</t>
  </si>
  <si>
    <t>Erhan Tekin</t>
  </si>
  <si>
    <t>Turgay Ates</t>
  </si>
  <si>
    <t>Mehmet Yurtseven</t>
  </si>
  <si>
    <t>Mahmut Emre</t>
  </si>
  <si>
    <t>Ömer Macit</t>
  </si>
  <si>
    <t>Onur Odabaşı</t>
  </si>
  <si>
    <t>Ozan Karadağ</t>
  </si>
  <si>
    <t>Beril Saygılı</t>
  </si>
  <si>
    <t>Sinan Orhan</t>
  </si>
  <si>
    <t>Suleyman Sarıoğlu</t>
  </si>
  <si>
    <t>Ayşe Allahverdiyev</t>
  </si>
  <si>
    <t>Umut Aksoy</t>
  </si>
  <si>
    <t>Ali̇ Aslan</t>
  </si>
  <si>
    <t>Barış Sökmen</t>
  </si>
  <si>
    <t>Yalçın Yurtseven</t>
  </si>
  <si>
    <t>Kerem Can</t>
  </si>
  <si>
    <t>Mustafa Keskin</t>
  </si>
  <si>
    <t>Mustafa Dede</t>
  </si>
  <si>
    <t>Nermin Yakarışık</t>
  </si>
  <si>
    <t>Surme Bulut</t>
  </si>
  <si>
    <t>Hüseyin Kalay</t>
  </si>
  <si>
    <t>Meltem Sabri</t>
  </si>
  <si>
    <t>Abdullah Kaya</t>
  </si>
  <si>
    <t>Ahmet Korkmaz</t>
  </si>
  <si>
    <t>Yakup Öncel</t>
  </si>
  <si>
    <t>Buket Yazçiçek</t>
  </si>
  <si>
    <t>Havva Erbay</t>
  </si>
  <si>
    <t>Tural Şahbaz</t>
  </si>
  <si>
    <t>İslam Sargın</t>
  </si>
  <si>
    <t>Ozden Demir</t>
  </si>
  <si>
    <t>Ali Acar</t>
  </si>
  <si>
    <t>Nuh İnce</t>
  </si>
  <si>
    <t>Mehmet Bilgili</t>
  </si>
  <si>
    <t>Sevil Ekşi</t>
  </si>
  <si>
    <t>Murat Özer</t>
  </si>
  <si>
    <t>Duran Esmer</t>
  </si>
  <si>
    <t>Sedat İlhan</t>
  </si>
  <si>
    <t>Tülay Çöl</t>
  </si>
  <si>
    <t>Filiz Uyar</t>
  </si>
  <si>
    <t>Sema Salahov</t>
  </si>
  <si>
    <t>Rahmi̇ Taşdelen</t>
  </si>
  <si>
    <t>Mehmet Tezcan</t>
  </si>
  <si>
    <t>Ahmet Yaprak</t>
  </si>
  <si>
    <t xml:space="preserve">Batuhan </t>
  </si>
  <si>
    <t>Umut Bulut</t>
  </si>
  <si>
    <t>Mustafa Nazifoğlu</t>
  </si>
  <si>
    <t>Orhan Alparslan</t>
  </si>
  <si>
    <t>Özgür Sancar</t>
  </si>
  <si>
    <t>Mukaddes Kıyak</t>
  </si>
  <si>
    <t>Salih Nur</t>
  </si>
  <si>
    <t>Levent Şahin</t>
  </si>
  <si>
    <t>Okan Akar</t>
  </si>
  <si>
    <t>Turan Tunç</t>
  </si>
  <si>
    <t>Engin Özkan</t>
  </si>
  <si>
    <t>Ali Zülfü</t>
  </si>
  <si>
    <t>Furkan Can</t>
  </si>
  <si>
    <t>M_Okay Alex</t>
  </si>
  <si>
    <t>Erdal Doğan</t>
  </si>
  <si>
    <t>Cihat Başboğa</t>
  </si>
  <si>
    <t>Ali Bozkurt</t>
  </si>
  <si>
    <t>Meltem Özkurtuluş</t>
  </si>
  <si>
    <t>Esra Akbudak</t>
  </si>
  <si>
    <t>Erdem Şimşek</t>
  </si>
  <si>
    <t>Dilek Yılmaz</t>
  </si>
  <si>
    <t>Soner Seyit</t>
  </si>
  <si>
    <t>Uğur Abdar</t>
  </si>
  <si>
    <t>Fadime Gür</t>
  </si>
  <si>
    <t>Mahir Yaşa</t>
  </si>
  <si>
    <t>Leman Sevgi</t>
  </si>
  <si>
    <t>Enes Küçükmeral</t>
  </si>
  <si>
    <t>Berkant Atalay</t>
  </si>
  <si>
    <t>Ahmet Gökdere</t>
  </si>
  <si>
    <t>Özgür Halıcıoğlu</t>
  </si>
  <si>
    <t>Hülya Can</t>
  </si>
  <si>
    <t xml:space="preserve">Keziban </t>
  </si>
  <si>
    <t>Recai Duran</t>
  </si>
  <si>
    <t>Cigdem Kaya</t>
  </si>
  <si>
    <t>Gizem Aksan</t>
  </si>
  <si>
    <t>Hüseyin Sancak</t>
  </si>
  <si>
    <t>Murat Akkaya</t>
  </si>
  <si>
    <t>Bilkay Baybars</t>
  </si>
  <si>
    <t>Aylin Tugay</t>
  </si>
  <si>
    <t>Abdullah Yürük</t>
  </si>
  <si>
    <t>Adem Derya</t>
  </si>
  <si>
    <t>Hakan Altan</t>
  </si>
  <si>
    <t>Erol Tüfekçi</t>
  </si>
  <si>
    <t>İsmail Levent</t>
  </si>
  <si>
    <t>Taner Çakmak</t>
  </si>
  <si>
    <t>Halit Dışkaya</t>
  </si>
  <si>
    <t>Süleyman Tunç</t>
  </si>
  <si>
    <t>Tahsin Turna</t>
  </si>
  <si>
    <t>Mehmet Arslan</t>
  </si>
  <si>
    <t>Göktuğ Kesmis</t>
  </si>
  <si>
    <t>Uğur Olcer</t>
  </si>
  <si>
    <t>Sinan Aday</t>
  </si>
  <si>
    <t>Cengizhan Sarac</t>
  </si>
  <si>
    <t>Mehmet Çakıcı</t>
  </si>
  <si>
    <t xml:space="preserve">Acaroglu </t>
  </si>
  <si>
    <t>Cumhur Hüseyin</t>
  </si>
  <si>
    <t>İ̇̇̇̇̇̇̇̇̇̇̇̇̇̇Srafil Emir</t>
  </si>
  <si>
    <t>Sida Öztürk</t>
  </si>
  <si>
    <t>Nura Öztürk</t>
  </si>
  <si>
    <t>Ahmet Karabay</t>
  </si>
  <si>
    <t>Dilek Özgün</t>
  </si>
  <si>
    <t>Ceren Erkök</t>
  </si>
  <si>
    <t>Sertan Taşkın</t>
  </si>
  <si>
    <t>Ümit Boga</t>
  </si>
  <si>
    <t>Büşra Gürkan</t>
  </si>
  <si>
    <t>Özlem Çayır</t>
  </si>
  <si>
    <t>Aslı Aksoy</t>
  </si>
  <si>
    <t>Canan Aydın</t>
  </si>
  <si>
    <t>Şeyda Yumak</t>
  </si>
  <si>
    <t>Umit Mert</t>
  </si>
  <si>
    <t>Doğuş Tiris</t>
  </si>
  <si>
    <t>Cengiz Bulut</t>
  </si>
  <si>
    <t>Ozan Aktürk</t>
  </si>
  <si>
    <t>Oğuzhan Pehlivan</t>
  </si>
  <si>
    <t>Mehmet Karabulut</t>
  </si>
  <si>
    <t>Ckayhan Köse</t>
  </si>
  <si>
    <t>Mustafa Peker</t>
  </si>
  <si>
    <t>Ahmet Ekinci</t>
  </si>
  <si>
    <t>Buket Topcu</t>
  </si>
  <si>
    <t>Hamza Seyit</t>
  </si>
  <si>
    <t>Tülay Safi</t>
  </si>
  <si>
    <t xml:space="preserve">Muhammed </t>
  </si>
  <si>
    <t>Aslıhan Güngör</t>
  </si>
  <si>
    <t>Utku Bağmeşli</t>
  </si>
  <si>
    <t>Şahin Saygılı</t>
  </si>
  <si>
    <t>Armo Beren</t>
  </si>
  <si>
    <t>Abdullah Güler</t>
  </si>
  <si>
    <t>Ferit Yılmaz</t>
  </si>
  <si>
    <t>Seval Laçin</t>
  </si>
  <si>
    <t>Hakkı Duran</t>
  </si>
  <si>
    <t>Volkan Bektaş</t>
  </si>
  <si>
    <t>İrfan Şenol</t>
  </si>
  <si>
    <t>Mustafa Işık</t>
  </si>
  <si>
    <t>Aysel Kumru</t>
  </si>
  <si>
    <t>Onur Top</t>
  </si>
  <si>
    <t>Ceyhun Demir</t>
  </si>
  <si>
    <t>Ahmet Tümen</t>
  </si>
  <si>
    <t>Serap Yaşaroğlu</t>
  </si>
  <si>
    <t>Bunyamax Aytun</t>
  </si>
  <si>
    <t>Nida Oyar</t>
  </si>
  <si>
    <t>Eyüp Durmaz</t>
  </si>
  <si>
    <t>Gökhan Ceylan</t>
  </si>
  <si>
    <t>Çiğdem Kutlu</t>
  </si>
  <si>
    <t>Furkan Şevket</t>
  </si>
  <si>
    <t>Ahmet Cumalı</t>
  </si>
  <si>
    <t>Alaattin Koç</t>
  </si>
  <si>
    <t>Cenk Alpaydın</t>
  </si>
  <si>
    <t>Umut Atila</t>
  </si>
  <si>
    <t>Gökhan Özocak</t>
  </si>
  <si>
    <t>Ilkin Demirok</t>
  </si>
  <si>
    <t>Volkan Tamahkar</t>
  </si>
  <si>
    <t>Burcu Burak</t>
  </si>
  <si>
    <t>Efe Osanmaz</t>
  </si>
  <si>
    <t>Hi̇Kmet Bağcı</t>
  </si>
  <si>
    <t>Murat Sönmezoğlu</t>
  </si>
  <si>
    <t>Merve Merve</t>
  </si>
  <si>
    <t>Hüseyin Özer</t>
  </si>
  <si>
    <t>Dilek Kocaoğlu</t>
  </si>
  <si>
    <t>Aylin Çiftçi</t>
  </si>
  <si>
    <t>Melih Babayev</t>
  </si>
  <si>
    <t>Paktem Aydın</t>
  </si>
  <si>
    <t>Sinan Sincar</t>
  </si>
  <si>
    <t>Gülşen Öz</t>
  </si>
  <si>
    <t>Personel</t>
  </si>
  <si>
    <t>Sicil No</t>
  </si>
  <si>
    <t>Bölümü</t>
  </si>
  <si>
    <t>Mavi Yaka</t>
  </si>
  <si>
    <t>Muhasebe</t>
  </si>
  <si>
    <t>İnsan Kaynakları</t>
  </si>
  <si>
    <t>Satın Alma</t>
  </si>
  <si>
    <t>Finans</t>
  </si>
  <si>
    <t>İşe Başlama</t>
  </si>
  <si>
    <t>Akfit Durum</t>
  </si>
  <si>
    <t>1- Deneme Süreli İş Sözleşmesinin İşverence feshi</t>
  </si>
  <si>
    <t>2- Deneme Süreli İş Sözleşmesinin işçi tarafından feshi.</t>
  </si>
  <si>
    <t>3- Belirsiz süreli iş sözleşmesinin işçi tarafından feshi(istifa)</t>
  </si>
  <si>
    <t>4- Belirsiz süreli iş sözleşmesinin işveren tarafından haklı sebep bildirilmeden feshi.</t>
  </si>
  <si>
    <t>5- Belirli süreli iş sözleşmesinin sona ermesi.</t>
  </si>
  <si>
    <t>8- Emeklilik(yaşlılık) ve ya toptan ödeme nedeniyle.</t>
  </si>
  <si>
    <t>9- Malulen emeklilik nedeniyle.</t>
  </si>
  <si>
    <t>10- Ölüm.</t>
  </si>
  <si>
    <t>11- İş kazası sonucu ölüm.</t>
  </si>
  <si>
    <t>12- Askerlik.</t>
  </si>
  <si>
    <t>13- Kadın işçinin evlenmesi</t>
  </si>
  <si>
    <t>14– Emeklilik için yaş dışında diğer şartların tamamlanması</t>
  </si>
  <si>
    <t>15– Toplu işçi çıkarma</t>
  </si>
  <si>
    <t>16– Sözleşme sona ermeden sigortalının aynı işverene ait diğer işyerine nakli</t>
  </si>
  <si>
    <t>17– İşyerinin kapanması</t>
  </si>
  <si>
    <t>18– İşin sona ermesi</t>
  </si>
  <si>
    <t>19– Mevsim bitimi (İş akdinin askıya alınması halinde kullanılır.Tekrar başlatılmayacaksa “4” nolu kod kullanılır)</t>
  </si>
  <si>
    <t>20– Kampanya bitimi (İş akdinin askıya alınması halinde kullanılır. Tekrar başlatılmayacaksa “4” nolu kod kullanılır)</t>
  </si>
  <si>
    <t>21– Statü değişikliği</t>
  </si>
  <si>
    <t>22– Diğer nedenler</t>
  </si>
  <si>
    <t>23– İşçi tarafından zorunlu nedenle fesih</t>
  </si>
  <si>
    <t>24– İşçi tarafından sağlık nedeniyle fesih</t>
  </si>
  <si>
    <t>25– İşçi tarafından işverenin ahlak ve iyiniyet kurallarına aykırı davranış nedeni ile fesih</t>
  </si>
  <si>
    <t>26– Disiplin kurulu kararı ile fesih</t>
  </si>
  <si>
    <t>27– İşveren tarafından zorunlu nedenlerle ve tutukluluk nedeniyle fesih</t>
  </si>
  <si>
    <t>28– İşveren tarafından sağlık nedeni ile fesih</t>
  </si>
  <si>
    <t>29– İşveren tarafından işçinin ahlak ve iyiniyet kurallarına aykırı davranışı nedeni ile fesih</t>
  </si>
  <si>
    <t>30– Vize süresinin bitimi ( İş akdinin askıya alınması halinde kullan Tekrar başlatılmayacaksa “4” nolu kod kullanılır)</t>
  </si>
  <si>
    <t>31– Borçlar Kanunu, Sendikalar Kanunu, Grev ve Lokavt Kanunu kapsamında kendi istek ve kusuru dışında fesih</t>
  </si>
  <si>
    <t>32– 4046 sayılı Kanunun 21. maddesine göre özelleştirme nedeni ile feshi</t>
  </si>
  <si>
    <t>33– Gazeteci tarafından sözleşmenin feshi</t>
  </si>
  <si>
    <t>34– İşyerinin devri, işin veya işyerinin niteliğinin değişmesi nedeniyle fesih</t>
  </si>
  <si>
    <t>Kod Listesi</t>
  </si>
  <si>
    <t>Ayrılma SGK Kodu</t>
  </si>
  <si>
    <t>Ayrılma Açıklaması</t>
  </si>
  <si>
    <t>Sevkiyat Mavi Yaka</t>
  </si>
  <si>
    <t>Grafik Bölümü Mavi Yaka</t>
  </si>
  <si>
    <t>Boyahane Bölümü  Mavi Yaka</t>
  </si>
  <si>
    <t>Hafif Metal Mavi Yaka</t>
  </si>
  <si>
    <t>Plastik Bölümü Mavi Yaka</t>
  </si>
  <si>
    <t>Elektrik Bölümü Mavi Yaka</t>
  </si>
  <si>
    <t>Ağır Metal Bölümü Beyaz Yaka</t>
  </si>
  <si>
    <t>Üst Yönetim</t>
  </si>
  <si>
    <t>Lojistik Beyaz Yaka</t>
  </si>
  <si>
    <t>Dış Montaj</t>
  </si>
  <si>
    <t>Muhasebe ve Mali İşler Bölümü</t>
  </si>
  <si>
    <t>PROJE</t>
  </si>
  <si>
    <t>Satış Bölümü</t>
  </si>
  <si>
    <t>Üst Yönetim-Yöneticiler</t>
  </si>
  <si>
    <t>Bilgi İşlem</t>
  </si>
  <si>
    <t>Ağır Metal Bölümü Mavi Yaka</t>
  </si>
  <si>
    <t>Plastik Bölümü Beyaz Yaka</t>
  </si>
  <si>
    <t>Hafif Metal Beyaz Yaka</t>
  </si>
  <si>
    <t>Kalite Güvence</t>
  </si>
  <si>
    <t>Grafik Bölümü Beyaz Yaka</t>
  </si>
  <si>
    <t>Boyahane Bölümü Beyaz Yaka</t>
  </si>
  <si>
    <t>Led Bölümü</t>
  </si>
  <si>
    <t>Planlama</t>
  </si>
  <si>
    <t>AyrılmaTarihi</t>
  </si>
  <si>
    <t>Süre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</si>
</sst>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rgb="FF333333"/>
      <name val="Calibri"/>
      <family val="2"/>
      <charset val="16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/>
  </cellStyleXfs>
  <cellXfs count="5">
    <xf numFmtId="0" fontId="0" fillId="0" borderId="0" xfId="0"/>
    <xf numFmtId="14" fontId="0" fillId="0" borderId="0" xfId="0" applyNumberFormat="1"/>
    <xf numFmtId="0" fontId="1" fillId="2" borderId="0" xfId="1"/>
    <xf numFmtId="0" fontId="2" fillId="0" borderId="0" xfId="0" applyFont="1" applyAlignment="1">
      <alignment vertical="center"/>
    </xf>
    <xf numFmtId="0" fontId="0" fillId="0" borderId="0" xfId="0" applyFont="1" applyAlignment="1"/>
  </cellXfs>
  <cellStyles count="3">
    <cellStyle name="Normal" xfId="0" builtinId="0"/>
    <cellStyle name="Normal 2" xfId="2" xr:uid="{54BF3D97-B1AA-4060-BE64-C3FCE063F201}"/>
    <cellStyle name="Vurgu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B8112-0E32-47F1-8BDA-EDBA9373CFEE}">
  <dimension ref="A1"/>
  <sheetViews>
    <sheetView workbookViewId="0">
      <selection activeCell="E19" sqref="E19"/>
    </sheetView>
  </sheetViews>
  <sheetFormatPr defaultRowHeight="14.25" x14ac:dyDescent="0.4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27375-237E-46DA-A02B-909B0AFB5D3F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20F7D-252E-4CE4-AC20-6667CBCCB818}">
  <dimension ref="A1:I416"/>
  <sheetViews>
    <sheetView tabSelected="1" zoomScaleNormal="100" workbookViewId="0">
      <pane ySplit="1" topLeftCell="A2" activePane="bottomLeft" state="frozen"/>
      <selection pane="bottomLeft" activeCell="E55" sqref="E55"/>
    </sheetView>
  </sheetViews>
  <sheetFormatPr defaultRowHeight="14.25" x14ac:dyDescent="0.45"/>
  <cols>
    <col min="2" max="2" width="15.6640625" customWidth="1"/>
    <col min="3" max="3" width="25.73046875" bestFit="1" customWidth="1"/>
    <col min="4" max="4" width="12.265625" customWidth="1"/>
    <col min="5" max="5" width="10.06640625" customWidth="1"/>
    <col min="6" max="6" width="20.06640625" customWidth="1"/>
    <col min="7" max="7" width="13.46484375" customWidth="1"/>
    <col min="8" max="8" width="18.3984375" customWidth="1"/>
    <col min="9" max="9" width="69" customWidth="1"/>
  </cols>
  <sheetData>
    <row r="1" spans="1:9" x14ac:dyDescent="0.45">
      <c r="A1" s="2" t="s">
        <v>416</v>
      </c>
      <c r="B1" s="2" t="s">
        <v>415</v>
      </c>
      <c r="C1" s="2" t="s">
        <v>417</v>
      </c>
      <c r="D1" s="2" t="s">
        <v>423</v>
      </c>
      <c r="E1" s="2" t="s">
        <v>424</v>
      </c>
      <c r="F1" s="2" t="s">
        <v>484</v>
      </c>
      <c r="G1" s="2" t="s">
        <v>483</v>
      </c>
      <c r="H1" s="2" t="s">
        <v>458</v>
      </c>
      <c r="I1" s="2" t="s">
        <v>459</v>
      </c>
    </row>
    <row r="2" spans="1:9" x14ac:dyDescent="0.45">
      <c r="A2">
        <v>4248</v>
      </c>
      <c r="B2" t="s">
        <v>218</v>
      </c>
      <c r="C2" t="s">
        <v>469</v>
      </c>
      <c r="D2" s="1">
        <v>42211</v>
      </c>
      <c r="E2" t="str">
        <f>IF(ISBLANK(G2),"Çalışıyor","Ayrıldı")</f>
        <v>Ayrıldı</v>
      </c>
      <c r="F2" t="str">
        <f ca="1">IF(ISBLANK(G2),INT(DAYS360(D2,TODAY(),0)/360)&amp;" Yıl - "&amp;INT(MOD(DAYS360(D2,TODAY(),0),360)/30)&amp;" Ay - "&amp;MOD(MOD(DAYS360(D2,TODAY(),0),360),30)&amp;" Gün",INT(DAYS360(D2,G2,0)/360)&amp;" Yıl - "&amp;INT(MOD(DAYS360(D2,G2,0),360)/30)&amp;" Ay - "&amp;MOD(MOD(DAYS360(D2,G2,0),360),30)&amp;" Gün")</f>
        <v>2 Yıl - 10 Ay - 15 Gün</v>
      </c>
      <c r="G2" s="1">
        <v>43262</v>
      </c>
      <c r="H2" s="1"/>
    </row>
    <row r="3" spans="1:9" x14ac:dyDescent="0.45">
      <c r="A3">
        <v>3537</v>
      </c>
      <c r="B3" t="s">
        <v>378</v>
      </c>
      <c r="C3" t="s">
        <v>467</v>
      </c>
      <c r="D3" s="1">
        <v>39288</v>
      </c>
      <c r="E3" t="str">
        <f>IF(ISBLANK(G3),"Çalışıyor","Ayrıldı")</f>
        <v>Çalışıyor</v>
      </c>
      <c r="F3" t="str">
        <f t="shared" ref="F3:F66" ca="1" si="0">IF(ISBLANK(G3),INT(DAYS360(D3,TODAY(),0)/360)&amp;" Yıl - "&amp;INT(MOD(DAYS360(D3,TODAY(),0),360)/30)&amp;" Ay - "&amp;MOD(MOD(DAYS360(D3,TODAY(),0),360),30)&amp;" Gün",INT(DAYS360(D3,G3,0)/360)&amp;" Yıl - "&amp;INT(MOD(DAYS360(D3,G3,0),360)/30)&amp;" Ay - "&amp;MOD(MOD(DAYS360(D3,G3,0),360),30)&amp;" Gün")</f>
        <v>12 Yıl - 1 Ay - 6 Gün</v>
      </c>
      <c r="G3" s="1"/>
      <c r="H3" s="1"/>
    </row>
    <row r="4" spans="1:9" x14ac:dyDescent="0.45">
      <c r="A4">
        <v>2807</v>
      </c>
      <c r="B4" t="s">
        <v>271</v>
      </c>
      <c r="C4" t="s">
        <v>481</v>
      </c>
      <c r="D4" s="1">
        <v>42152</v>
      </c>
      <c r="E4" t="str">
        <f>IF(ISBLANK(G4),"Çalışıyor","Ayrıldı")</f>
        <v>Çalışıyor</v>
      </c>
      <c r="F4" t="str">
        <f t="shared" ca="1" si="0"/>
        <v>4 Yıl - 3 Ay - 3 Gün</v>
      </c>
      <c r="G4" s="1"/>
      <c r="H4" s="1"/>
    </row>
    <row r="5" spans="1:9" x14ac:dyDescent="0.45">
      <c r="A5">
        <v>2103</v>
      </c>
      <c r="B5" t="s">
        <v>115</v>
      </c>
      <c r="C5" t="s">
        <v>467</v>
      </c>
      <c r="D5" s="1">
        <v>41256</v>
      </c>
      <c r="E5" t="str">
        <f>IF(ISBLANK(G5),"Çalışıyor","Ayrıldı")</f>
        <v>Çalışıyor</v>
      </c>
      <c r="F5" t="str">
        <f t="shared" ca="1" si="0"/>
        <v>6 Yıl - 8 Ay - 18 Gün</v>
      </c>
      <c r="G5" s="1"/>
      <c r="H5" s="1"/>
    </row>
    <row r="6" spans="1:9" x14ac:dyDescent="0.45">
      <c r="A6">
        <v>3645</v>
      </c>
      <c r="B6" t="s">
        <v>331</v>
      </c>
      <c r="C6" t="s">
        <v>471</v>
      </c>
      <c r="D6" s="1">
        <v>39427</v>
      </c>
      <c r="E6" t="str">
        <f>IF(ISBLANK(G6),"Çalışıyor","Ayrıldı")</f>
        <v>Çalışıyor</v>
      </c>
      <c r="F6" t="str">
        <f t="shared" ca="1" si="0"/>
        <v>11 Yıl - 8 Ay - 20 Gün</v>
      </c>
      <c r="G6" s="1"/>
      <c r="H6" s="1"/>
    </row>
    <row r="7" spans="1:9" x14ac:dyDescent="0.45">
      <c r="A7">
        <v>2755</v>
      </c>
      <c r="B7" t="s">
        <v>123</v>
      </c>
      <c r="C7" t="s">
        <v>469</v>
      </c>
      <c r="D7" s="1">
        <v>39055</v>
      </c>
      <c r="E7" t="str">
        <f>IF(ISBLANK(G7),"Çalışıyor","Ayrıldı")</f>
        <v>Çalışıyor</v>
      </c>
      <c r="F7" t="str">
        <f t="shared" ca="1" si="0"/>
        <v>12 Yıl - 8 Ay - 27 Gün</v>
      </c>
      <c r="G7" s="1"/>
      <c r="H7" s="1"/>
    </row>
    <row r="8" spans="1:9" x14ac:dyDescent="0.45">
      <c r="A8">
        <v>3356</v>
      </c>
      <c r="B8" t="s">
        <v>49</v>
      </c>
      <c r="C8" t="s">
        <v>465</v>
      </c>
      <c r="D8" s="1">
        <v>32648</v>
      </c>
      <c r="E8" t="str">
        <f>IF(ISBLANK(G8),"Çalışıyor","Ayrıldı")</f>
        <v>Çalışıyor</v>
      </c>
      <c r="F8" t="str">
        <f t="shared" ca="1" si="0"/>
        <v>30 Yıl - 3 Ay - 11 Gün</v>
      </c>
      <c r="G8" s="1"/>
      <c r="H8" s="1"/>
    </row>
    <row r="9" spans="1:9" x14ac:dyDescent="0.45">
      <c r="A9">
        <v>3536</v>
      </c>
      <c r="B9" t="s">
        <v>346</v>
      </c>
      <c r="C9" t="s">
        <v>476</v>
      </c>
      <c r="D9" s="1">
        <v>36190</v>
      </c>
      <c r="E9" t="str">
        <f>IF(ISBLANK(G9),"Çalışıyor","Ayrıldı")</f>
        <v>Ayrıldı</v>
      </c>
      <c r="F9" t="str">
        <f t="shared" ca="1" si="0"/>
        <v>19 Yıl - 4 Ay - 11 Gün</v>
      </c>
      <c r="G9" s="1">
        <v>43262</v>
      </c>
      <c r="H9" s="1"/>
    </row>
    <row r="10" spans="1:9" x14ac:dyDescent="0.45">
      <c r="A10">
        <v>3567</v>
      </c>
      <c r="B10" t="s">
        <v>332</v>
      </c>
      <c r="C10" t="s">
        <v>465</v>
      </c>
      <c r="D10" s="1">
        <v>40918</v>
      </c>
      <c r="E10" t="str">
        <f>IF(ISBLANK(G10),"Çalışıyor","Ayrıldı")</f>
        <v>Çalışıyor</v>
      </c>
      <c r="F10" t="str">
        <f t="shared" ca="1" si="0"/>
        <v>7 Yıl - 7 Ay - 21 Gün</v>
      </c>
      <c r="G10" s="1"/>
      <c r="H10" s="1"/>
    </row>
    <row r="11" spans="1:9" x14ac:dyDescent="0.45">
      <c r="A11">
        <v>3123</v>
      </c>
      <c r="B11" t="s">
        <v>199</v>
      </c>
      <c r="C11" t="s">
        <v>479</v>
      </c>
      <c r="D11" s="1">
        <v>39253</v>
      </c>
      <c r="E11" t="str">
        <f>IF(ISBLANK(G11),"Çalışıyor","Ayrıldı")</f>
        <v>Ayrıldı</v>
      </c>
      <c r="F11" t="str">
        <f t="shared" ca="1" si="0"/>
        <v>10 Yıl - 11 Ay - 21 Gün</v>
      </c>
      <c r="G11" s="1">
        <v>43262</v>
      </c>
      <c r="H11" s="1"/>
    </row>
    <row r="12" spans="1:9" x14ac:dyDescent="0.45">
      <c r="A12">
        <v>2005</v>
      </c>
      <c r="B12" t="s">
        <v>76</v>
      </c>
      <c r="C12" t="s">
        <v>419</v>
      </c>
      <c r="D12" s="1">
        <v>39239</v>
      </c>
      <c r="E12" t="str">
        <f>IF(ISBLANK(G12),"Çalışıyor","Ayrıldı")</f>
        <v>Çalışıyor</v>
      </c>
      <c r="F12" t="str">
        <f t="shared" ca="1" si="0"/>
        <v>12 Yıl - 2 Ay - 25 Gün</v>
      </c>
      <c r="G12" s="1"/>
      <c r="H12" s="1"/>
    </row>
    <row r="13" spans="1:9" x14ac:dyDescent="0.45">
      <c r="A13">
        <v>4214</v>
      </c>
      <c r="B13" t="s">
        <v>160</v>
      </c>
      <c r="C13" t="s">
        <v>480</v>
      </c>
      <c r="D13" s="1">
        <v>34863</v>
      </c>
      <c r="E13" t="str">
        <f>IF(ISBLANK(G13),"Çalışıyor","Ayrıldı")</f>
        <v>Çalışıyor</v>
      </c>
      <c r="F13" t="str">
        <f t="shared" ca="1" si="0"/>
        <v>24 Yıl - 2 Ay - 18 Gün</v>
      </c>
      <c r="G13" s="1"/>
      <c r="H13" s="1"/>
    </row>
    <row r="14" spans="1:9" x14ac:dyDescent="0.45">
      <c r="A14">
        <v>4505</v>
      </c>
      <c r="B14" t="s">
        <v>396</v>
      </c>
      <c r="C14" t="s">
        <v>469</v>
      </c>
      <c r="D14" s="1">
        <v>37781</v>
      </c>
      <c r="E14" t="str">
        <f>IF(ISBLANK(G14),"Çalışıyor","Ayrıldı")</f>
        <v>Çalışıyor</v>
      </c>
      <c r="F14" t="str">
        <f t="shared" ca="1" si="0"/>
        <v>16 Yıl - 2 Ay - 22 Gün</v>
      </c>
      <c r="G14" s="1"/>
      <c r="H14" s="1"/>
    </row>
    <row r="15" spans="1:9" x14ac:dyDescent="0.45">
      <c r="A15">
        <v>3386</v>
      </c>
      <c r="B15" t="s">
        <v>194</v>
      </c>
      <c r="C15" t="s">
        <v>480</v>
      </c>
      <c r="D15" s="1">
        <v>35080</v>
      </c>
      <c r="E15" t="str">
        <f>IF(ISBLANK(G15),"Çalışıyor","Ayrıldı")</f>
        <v>Çalışıyor</v>
      </c>
      <c r="F15" t="str">
        <f t="shared" ca="1" si="0"/>
        <v>23 Yıl - 7 Ay - 15 Gün</v>
      </c>
      <c r="G15" s="1"/>
      <c r="H15" s="1"/>
    </row>
    <row r="16" spans="1:9" x14ac:dyDescent="0.45">
      <c r="A16">
        <v>2368</v>
      </c>
      <c r="B16" t="s">
        <v>369</v>
      </c>
      <c r="C16" t="s">
        <v>421</v>
      </c>
      <c r="D16" s="1">
        <v>38290</v>
      </c>
      <c r="E16" t="str">
        <f>IF(ISBLANK(G16),"Çalışıyor","Ayrıldı")</f>
        <v>Çalışıyor</v>
      </c>
      <c r="F16" t="str">
        <f t="shared" ca="1" si="0"/>
        <v>14 Yıl - 10 Ay - 0 Gün</v>
      </c>
      <c r="G16" s="1"/>
      <c r="H16" s="1"/>
    </row>
    <row r="17" spans="1:8" x14ac:dyDescent="0.45">
      <c r="A17">
        <v>3404</v>
      </c>
      <c r="B17" t="s">
        <v>202</v>
      </c>
      <c r="C17" t="s">
        <v>474</v>
      </c>
      <c r="D17" s="1">
        <v>35511</v>
      </c>
      <c r="E17" t="str">
        <f>IF(ISBLANK(G17),"Çalışıyor","Ayrıldı")</f>
        <v>Çalışıyor</v>
      </c>
      <c r="F17" t="str">
        <f t="shared" ca="1" si="0"/>
        <v>22 Yıl - 5 Ay - 9 Gün</v>
      </c>
      <c r="G17" s="1"/>
      <c r="H17" s="1"/>
    </row>
    <row r="18" spans="1:8" x14ac:dyDescent="0.45">
      <c r="A18">
        <v>4498</v>
      </c>
      <c r="B18" t="s">
        <v>320</v>
      </c>
      <c r="C18" t="s">
        <v>419</v>
      </c>
      <c r="D18" s="1">
        <v>42489</v>
      </c>
      <c r="E18" t="str">
        <f>IF(ISBLANK(G18),"Çalışıyor","Ayrıldı")</f>
        <v>Çalışıyor</v>
      </c>
      <c r="F18" t="str">
        <f t="shared" ca="1" si="0"/>
        <v>3 Yıl - 4 Ay - 2 Gün</v>
      </c>
      <c r="G18" s="1"/>
      <c r="H18" s="1"/>
    </row>
    <row r="19" spans="1:8" x14ac:dyDescent="0.45">
      <c r="A19">
        <v>2974</v>
      </c>
      <c r="B19" t="s">
        <v>351</v>
      </c>
      <c r="C19" t="s">
        <v>468</v>
      </c>
      <c r="D19" s="1">
        <v>34461</v>
      </c>
      <c r="E19" t="str">
        <f>IF(ISBLANK(G19),"Çalışıyor","Ayrıldı")</f>
        <v>Çalışıyor</v>
      </c>
      <c r="F19" t="str">
        <f t="shared" ca="1" si="0"/>
        <v>25 Yıl - 3 Ay - 24 Gün</v>
      </c>
      <c r="G19" s="1"/>
      <c r="H19" s="1"/>
    </row>
    <row r="20" spans="1:8" x14ac:dyDescent="0.45">
      <c r="A20">
        <v>4342</v>
      </c>
      <c r="B20" t="s">
        <v>272</v>
      </c>
      <c r="C20" t="s">
        <v>482</v>
      </c>
      <c r="D20" s="1">
        <v>41433</v>
      </c>
      <c r="E20" t="str">
        <f>IF(ISBLANK(G20),"Çalışıyor","Ayrıldı")</f>
        <v>Çalışıyor</v>
      </c>
      <c r="F20" t="str">
        <f t="shared" ca="1" si="0"/>
        <v>6 Yıl - 2 Ay - 23 Gün</v>
      </c>
      <c r="G20" s="1"/>
      <c r="H20" s="1"/>
    </row>
    <row r="21" spans="1:8" x14ac:dyDescent="0.45">
      <c r="A21">
        <v>3843</v>
      </c>
      <c r="B21" t="s">
        <v>84</v>
      </c>
      <c r="C21" t="s">
        <v>479</v>
      </c>
      <c r="D21" s="1">
        <v>36762</v>
      </c>
      <c r="E21" t="str">
        <f>IF(ISBLANK(G21),"Çalışıyor","Ayrıldı")</f>
        <v>Çalışıyor</v>
      </c>
      <c r="F21" t="str">
        <f t="shared" ca="1" si="0"/>
        <v>19 Yıl - 0 Ay - 7 Gün</v>
      </c>
      <c r="G21" s="1"/>
      <c r="H21" s="1"/>
    </row>
    <row r="22" spans="1:8" x14ac:dyDescent="0.45">
      <c r="A22">
        <v>3544</v>
      </c>
      <c r="B22" t="s">
        <v>388</v>
      </c>
      <c r="C22" t="s">
        <v>466</v>
      </c>
      <c r="D22" s="1">
        <v>34680</v>
      </c>
      <c r="E22" t="str">
        <f>IF(ISBLANK(G22),"Çalışıyor","Ayrıldı")</f>
        <v>Çalışıyor</v>
      </c>
      <c r="F22" t="str">
        <f t="shared" ca="1" si="0"/>
        <v>24 Yıl - 8 Ay - 19 Gün</v>
      </c>
      <c r="G22" s="1"/>
      <c r="H22" s="1"/>
    </row>
    <row r="23" spans="1:8" x14ac:dyDescent="0.45">
      <c r="A23">
        <v>2301</v>
      </c>
      <c r="B23" t="s">
        <v>139</v>
      </c>
      <c r="C23" t="s">
        <v>463</v>
      </c>
      <c r="D23" s="1">
        <v>39987</v>
      </c>
      <c r="E23" t="str">
        <f>IF(ISBLANK(G23),"Çalışıyor","Ayrıldı")</f>
        <v>Çalışıyor</v>
      </c>
      <c r="F23" t="str">
        <f t="shared" ca="1" si="0"/>
        <v>10 Yıl - 2 Ay - 8 Gün</v>
      </c>
      <c r="G23" s="1"/>
      <c r="H23" s="1"/>
    </row>
    <row r="24" spans="1:8" x14ac:dyDescent="0.45">
      <c r="A24">
        <v>3525</v>
      </c>
      <c r="B24" t="s">
        <v>291</v>
      </c>
      <c r="C24" t="s">
        <v>419</v>
      </c>
      <c r="D24" s="1">
        <v>41439</v>
      </c>
      <c r="E24" t="str">
        <f>IF(ISBLANK(G24),"Çalışıyor","Ayrıldı")</f>
        <v>Çalışıyor</v>
      </c>
      <c r="F24" t="str">
        <f t="shared" ca="1" si="0"/>
        <v>6 Yıl - 2 Ay - 17 Gün</v>
      </c>
      <c r="G24" s="1"/>
      <c r="H24" s="1"/>
    </row>
    <row r="25" spans="1:8" x14ac:dyDescent="0.45">
      <c r="A25">
        <v>4294</v>
      </c>
      <c r="B25" t="s">
        <v>90</v>
      </c>
      <c r="C25" t="s">
        <v>477</v>
      </c>
      <c r="D25" s="1">
        <v>35334</v>
      </c>
      <c r="E25" t="str">
        <f>IF(ISBLANK(G25),"Çalışıyor","Ayrıldı")</f>
        <v>Çalışıyor</v>
      </c>
      <c r="F25" t="str">
        <f t="shared" ca="1" si="0"/>
        <v>22 Yıl - 11 Ay - 5 Gün</v>
      </c>
      <c r="G25" s="1"/>
      <c r="H25" s="1"/>
    </row>
    <row r="26" spans="1:8" x14ac:dyDescent="0.45">
      <c r="A26">
        <v>2330</v>
      </c>
      <c r="B26" t="s">
        <v>33</v>
      </c>
      <c r="C26" t="s">
        <v>462</v>
      </c>
      <c r="D26" s="1">
        <v>40512</v>
      </c>
      <c r="E26" t="str">
        <f>IF(ISBLANK(G26),"Çalışıyor","Ayrıldı")</f>
        <v>Çalışıyor</v>
      </c>
      <c r="F26" t="str">
        <f t="shared" ca="1" si="0"/>
        <v>8 Yıl - 9 Ay - 0 Gün</v>
      </c>
      <c r="G26" s="1"/>
      <c r="H26" s="1"/>
    </row>
    <row r="27" spans="1:8" x14ac:dyDescent="0.45">
      <c r="A27">
        <v>2998</v>
      </c>
      <c r="B27" t="s">
        <v>91</v>
      </c>
      <c r="C27" t="s">
        <v>469</v>
      </c>
      <c r="D27" s="1">
        <v>34384</v>
      </c>
      <c r="E27" t="str">
        <f>IF(ISBLANK(G27),"Çalışıyor","Ayrıldı")</f>
        <v>Ayrıldı</v>
      </c>
      <c r="F27" t="str">
        <f t="shared" ca="1" si="0"/>
        <v>24 Yıl - 3 Ay - 22 Gün</v>
      </c>
      <c r="G27" s="1">
        <v>43262</v>
      </c>
      <c r="H27" s="1"/>
    </row>
    <row r="28" spans="1:8" x14ac:dyDescent="0.45">
      <c r="A28">
        <v>2638</v>
      </c>
      <c r="B28" t="s">
        <v>233</v>
      </c>
      <c r="C28" t="s">
        <v>472</v>
      </c>
      <c r="D28" s="1">
        <v>37263</v>
      </c>
      <c r="E28" t="str">
        <f>IF(ISBLANK(G28),"Çalışıyor","Ayrıldı")</f>
        <v>Çalışıyor</v>
      </c>
      <c r="F28" t="str">
        <f t="shared" ca="1" si="0"/>
        <v>17 Yıl - 7 Ay - 24 Gün</v>
      </c>
      <c r="G28" s="1"/>
      <c r="H28" s="1"/>
    </row>
    <row r="29" spans="1:8" x14ac:dyDescent="0.45">
      <c r="A29">
        <v>4232</v>
      </c>
      <c r="B29" t="s">
        <v>397</v>
      </c>
      <c r="C29" t="s">
        <v>473</v>
      </c>
      <c r="D29" s="1">
        <v>39483</v>
      </c>
      <c r="E29" t="str">
        <f>IF(ISBLANK(G29),"Çalışıyor","Ayrıldı")</f>
        <v>Ayrıldı</v>
      </c>
      <c r="F29" t="str">
        <f t="shared" ca="1" si="0"/>
        <v>10 Yıl - 4 Ay - 6 Gün</v>
      </c>
      <c r="G29" s="1">
        <v>43262</v>
      </c>
      <c r="H29" s="1"/>
    </row>
    <row r="30" spans="1:8" x14ac:dyDescent="0.45">
      <c r="A30">
        <v>4437</v>
      </c>
      <c r="B30" t="s">
        <v>279</v>
      </c>
      <c r="C30" t="s">
        <v>473</v>
      </c>
      <c r="D30" s="1">
        <v>36735</v>
      </c>
      <c r="E30" t="str">
        <f>IF(ISBLANK(G30),"Çalışıyor","Ayrıldı")</f>
        <v>Çalışıyor</v>
      </c>
      <c r="F30" t="str">
        <f t="shared" ca="1" si="0"/>
        <v>19 Yıl - 1 Ay - 3 Gün</v>
      </c>
      <c r="G30" s="1"/>
      <c r="H30" s="1"/>
    </row>
    <row r="31" spans="1:8" x14ac:dyDescent="0.45">
      <c r="A31">
        <v>2699</v>
      </c>
      <c r="B31" t="s">
        <v>261</v>
      </c>
      <c r="C31" t="s">
        <v>472</v>
      </c>
      <c r="D31" s="1">
        <v>42122</v>
      </c>
      <c r="E31" t="str">
        <f>IF(ISBLANK(G31),"Çalışıyor","Ayrıldı")</f>
        <v>Çalışıyor</v>
      </c>
      <c r="F31" t="str">
        <f t="shared" ca="1" si="0"/>
        <v>4 Yıl - 4 Ay - 3 Gün</v>
      </c>
      <c r="G31" s="1"/>
      <c r="H31" s="1"/>
    </row>
    <row r="32" spans="1:8" x14ac:dyDescent="0.45">
      <c r="A32">
        <v>4157</v>
      </c>
      <c r="B32" t="s">
        <v>68</v>
      </c>
      <c r="C32" t="s">
        <v>481</v>
      </c>
      <c r="D32" s="1">
        <v>32975</v>
      </c>
      <c r="E32" t="str">
        <f>IF(ISBLANK(G32),"Çalışıyor","Ayrıldı")</f>
        <v>Çalışıyor</v>
      </c>
      <c r="F32" t="str">
        <f t="shared" ca="1" si="0"/>
        <v>29 Yıl - 4 Ay - 19 Gün</v>
      </c>
      <c r="G32" s="1"/>
      <c r="H32" s="1"/>
    </row>
    <row r="33" spans="1:8" x14ac:dyDescent="0.45">
      <c r="A33">
        <v>4098</v>
      </c>
      <c r="B33" t="s">
        <v>308</v>
      </c>
      <c r="C33" t="s">
        <v>469</v>
      </c>
      <c r="D33" s="1">
        <v>38374</v>
      </c>
      <c r="E33" t="str">
        <f>IF(ISBLANK(G33),"Çalışıyor","Ayrıldı")</f>
        <v>Çalışıyor</v>
      </c>
      <c r="F33" t="str">
        <f t="shared" ca="1" si="0"/>
        <v>14 Yıl - 7 Ay - 9 Gün</v>
      </c>
      <c r="G33" s="1"/>
      <c r="H33" s="1"/>
    </row>
    <row r="34" spans="1:8" x14ac:dyDescent="0.45">
      <c r="A34">
        <v>3304</v>
      </c>
      <c r="B34" t="s">
        <v>48</v>
      </c>
      <c r="C34" t="s">
        <v>469</v>
      </c>
      <c r="D34" s="1">
        <v>37781</v>
      </c>
      <c r="E34" t="str">
        <f>IF(ISBLANK(G34),"Çalışıyor","Ayrıldı")</f>
        <v>Çalışıyor</v>
      </c>
      <c r="F34" t="str">
        <f t="shared" ca="1" si="0"/>
        <v>16 Yıl - 2 Ay - 22 Gün</v>
      </c>
      <c r="G34" s="1"/>
      <c r="H34" s="1"/>
    </row>
    <row r="35" spans="1:8" x14ac:dyDescent="0.45">
      <c r="A35">
        <v>2090</v>
      </c>
      <c r="B35" t="s">
        <v>152</v>
      </c>
      <c r="C35" t="s">
        <v>478</v>
      </c>
      <c r="D35" s="1">
        <v>39861</v>
      </c>
      <c r="E35" t="str">
        <f>IF(ISBLANK(G35),"Çalışıyor","Ayrıldı")</f>
        <v>Çalışıyor</v>
      </c>
      <c r="F35" t="str">
        <f t="shared" ca="1" si="0"/>
        <v>10 Yıl - 6 Ay - 14 Gün</v>
      </c>
      <c r="G35" s="1"/>
      <c r="H35" s="1"/>
    </row>
    <row r="36" spans="1:8" x14ac:dyDescent="0.45">
      <c r="A36">
        <v>3046</v>
      </c>
      <c r="B36" t="s">
        <v>172</v>
      </c>
      <c r="C36" t="s">
        <v>462</v>
      </c>
      <c r="D36" s="1">
        <v>42596</v>
      </c>
      <c r="E36" t="str">
        <f>IF(ISBLANK(G36),"Çalışıyor","Ayrıldı")</f>
        <v>Çalışıyor</v>
      </c>
      <c r="F36" t="str">
        <f t="shared" ca="1" si="0"/>
        <v>3 Yıl - 0 Ay - 17 Gün</v>
      </c>
      <c r="G36" s="1"/>
      <c r="H36" s="1"/>
    </row>
    <row r="37" spans="1:8" x14ac:dyDescent="0.45">
      <c r="A37">
        <v>3244</v>
      </c>
      <c r="B37" t="s">
        <v>58</v>
      </c>
      <c r="C37" t="s">
        <v>475</v>
      </c>
      <c r="D37" s="1">
        <v>32714</v>
      </c>
      <c r="E37" t="str">
        <f>IF(ISBLANK(G37),"Çalışıyor","Ayrıldı")</f>
        <v>Çalışıyor</v>
      </c>
      <c r="F37" t="str">
        <f t="shared" ca="1" si="0"/>
        <v>30 Yıl - 1 Ay - 6 Gün</v>
      </c>
      <c r="G37" s="1"/>
      <c r="H37" s="1"/>
    </row>
    <row r="38" spans="1:8" x14ac:dyDescent="0.45">
      <c r="A38">
        <v>4453</v>
      </c>
      <c r="B38" t="s">
        <v>303</v>
      </c>
      <c r="C38" t="s">
        <v>463</v>
      </c>
      <c r="D38" s="1">
        <v>39445</v>
      </c>
      <c r="E38" t="str">
        <f>IF(ISBLANK(G38),"Çalışıyor","Ayrıldı")</f>
        <v>Çalışıyor</v>
      </c>
      <c r="F38" t="str">
        <f t="shared" ca="1" si="0"/>
        <v>11 Yıl - 8 Ay - 2 Gün</v>
      </c>
      <c r="G38" s="1"/>
      <c r="H38" s="1"/>
    </row>
    <row r="39" spans="1:8" x14ac:dyDescent="0.45">
      <c r="A39">
        <v>2887</v>
      </c>
      <c r="B39" t="s">
        <v>201</v>
      </c>
      <c r="C39" t="s">
        <v>470</v>
      </c>
      <c r="D39" s="1">
        <v>34402</v>
      </c>
      <c r="E39" t="str">
        <f>IF(ISBLANK(G39),"Çalışıyor","Ayrıldı")</f>
        <v>Çalışıyor</v>
      </c>
      <c r="F39" t="str">
        <f t="shared" ca="1" si="0"/>
        <v>25 Yıl - 5 Ay - 22 Gün</v>
      </c>
      <c r="G39" s="1"/>
      <c r="H39" s="1"/>
    </row>
    <row r="40" spans="1:8" x14ac:dyDescent="0.45">
      <c r="A40">
        <v>2065</v>
      </c>
      <c r="B40" t="s">
        <v>14</v>
      </c>
      <c r="C40" t="s">
        <v>419</v>
      </c>
      <c r="D40" s="1">
        <v>34254</v>
      </c>
      <c r="E40" t="str">
        <f>IF(ISBLANK(G40),"Çalışıyor","Ayrıldı")</f>
        <v>Çalışıyor</v>
      </c>
      <c r="F40" t="str">
        <f t="shared" ca="1" si="0"/>
        <v>25 Yıl - 10 Ay - 19 Gün</v>
      </c>
      <c r="G40" s="1"/>
      <c r="H40" s="1"/>
    </row>
    <row r="41" spans="1:8" x14ac:dyDescent="0.45">
      <c r="A41">
        <v>2683</v>
      </c>
      <c r="B41" t="s">
        <v>133</v>
      </c>
      <c r="C41" t="s">
        <v>473</v>
      </c>
      <c r="D41" s="1">
        <v>37974</v>
      </c>
      <c r="E41" t="str">
        <f>IF(ISBLANK(G41),"Çalışıyor","Ayrıldı")</f>
        <v>Çalışıyor</v>
      </c>
      <c r="F41" t="str">
        <f t="shared" ca="1" si="0"/>
        <v>15 Yıl - 8 Ay - 12 Gün</v>
      </c>
      <c r="G41" s="1"/>
      <c r="H41" s="1"/>
    </row>
    <row r="42" spans="1:8" x14ac:dyDescent="0.45">
      <c r="A42">
        <v>2089</v>
      </c>
      <c r="B42" t="s">
        <v>241</v>
      </c>
      <c r="C42" t="s">
        <v>478</v>
      </c>
      <c r="D42" s="1">
        <v>37441</v>
      </c>
      <c r="E42" t="str">
        <f>IF(ISBLANK(G42),"Çalışıyor","Ayrıldı")</f>
        <v>Çalışıyor</v>
      </c>
      <c r="F42" t="str">
        <f t="shared" ca="1" si="0"/>
        <v>17 Yıl - 1 Ay - 27 Gün</v>
      </c>
      <c r="G42" s="1"/>
      <c r="H42" s="1"/>
    </row>
    <row r="43" spans="1:8" x14ac:dyDescent="0.45">
      <c r="A43">
        <v>3687</v>
      </c>
      <c r="B43" t="s">
        <v>377</v>
      </c>
      <c r="C43" t="s">
        <v>465</v>
      </c>
      <c r="D43" s="1">
        <v>33754</v>
      </c>
      <c r="E43" t="str">
        <f>IF(ISBLANK(G43),"Çalışıyor","Ayrıldı")</f>
        <v>Çalışıyor</v>
      </c>
      <c r="F43" t="str">
        <f t="shared" ca="1" si="0"/>
        <v>27 Yıl - 3 Ay - 0 Gün</v>
      </c>
      <c r="G43" s="1"/>
      <c r="H43" s="1"/>
    </row>
    <row r="44" spans="1:8" x14ac:dyDescent="0.45">
      <c r="A44">
        <v>4402</v>
      </c>
      <c r="B44" t="s">
        <v>143</v>
      </c>
      <c r="C44" t="s">
        <v>463</v>
      </c>
      <c r="D44" s="1">
        <v>37822</v>
      </c>
      <c r="E44" t="str">
        <f>IF(ISBLANK(G44),"Çalışıyor","Ayrıldı")</f>
        <v>Çalışıyor</v>
      </c>
      <c r="F44" t="str">
        <f t="shared" ca="1" si="0"/>
        <v>16 Yıl - 1 Ay - 11 Gün</v>
      </c>
      <c r="G44" s="1"/>
      <c r="H44" s="1"/>
    </row>
    <row r="45" spans="1:8" x14ac:dyDescent="0.45">
      <c r="A45">
        <v>3591</v>
      </c>
      <c r="B45" t="s">
        <v>358</v>
      </c>
      <c r="C45" t="s">
        <v>480</v>
      </c>
      <c r="D45" s="1">
        <v>33669</v>
      </c>
      <c r="E45" t="str">
        <f>IF(ISBLANK(G45),"Çalışıyor","Ayrıldı")</f>
        <v>Çalışıyor</v>
      </c>
      <c r="F45" t="str">
        <f t="shared" ca="1" si="0"/>
        <v>27 Yıl - 5 Ay - 25 Gün</v>
      </c>
      <c r="G45" s="1"/>
      <c r="H45" s="1"/>
    </row>
    <row r="46" spans="1:8" x14ac:dyDescent="0.45">
      <c r="A46">
        <v>2558</v>
      </c>
      <c r="B46" t="s">
        <v>64</v>
      </c>
      <c r="C46" t="s">
        <v>469</v>
      </c>
      <c r="D46" s="1">
        <v>33751</v>
      </c>
      <c r="E46" t="str">
        <f>IF(ISBLANK(G46),"Çalışıyor","Ayrıldı")</f>
        <v>Çalışıyor</v>
      </c>
      <c r="F46" t="str">
        <f t="shared" ca="1" si="0"/>
        <v>27 Yıl - 3 Ay - 4 Gün</v>
      </c>
      <c r="G46" s="1"/>
      <c r="H46" s="1"/>
    </row>
    <row r="47" spans="1:8" x14ac:dyDescent="0.45">
      <c r="A47">
        <v>3427</v>
      </c>
      <c r="B47" t="s">
        <v>182</v>
      </c>
      <c r="C47" t="s">
        <v>471</v>
      </c>
      <c r="D47" s="1">
        <v>35581</v>
      </c>
      <c r="E47" t="str">
        <f>IF(ISBLANK(G47),"Çalışıyor","Ayrıldı")</f>
        <v>Ayrıldı</v>
      </c>
      <c r="F47" t="str">
        <f t="shared" ca="1" si="0"/>
        <v>21 Yıl - 0 Ay - 11 Gün</v>
      </c>
      <c r="G47" s="1">
        <v>43262</v>
      </c>
      <c r="H47" s="1"/>
    </row>
    <row r="48" spans="1:8" x14ac:dyDescent="0.45">
      <c r="A48">
        <v>3139</v>
      </c>
      <c r="B48" t="s">
        <v>374</v>
      </c>
      <c r="C48" t="s">
        <v>421</v>
      </c>
      <c r="D48" s="1">
        <v>37879</v>
      </c>
      <c r="E48" t="str">
        <f>IF(ISBLANK(G48),"Çalışıyor","Ayrıldı")</f>
        <v>Çalışıyor</v>
      </c>
      <c r="F48" t="str">
        <f t="shared" ca="1" si="0"/>
        <v>15 Yıl - 11 Ay - 16 Gün</v>
      </c>
      <c r="G48" s="1"/>
      <c r="H48" s="1"/>
    </row>
    <row r="49" spans="1:8" x14ac:dyDescent="0.45">
      <c r="A49">
        <v>2981</v>
      </c>
      <c r="B49" t="s">
        <v>228</v>
      </c>
      <c r="C49" t="s">
        <v>418</v>
      </c>
      <c r="D49" s="1">
        <v>35649</v>
      </c>
      <c r="E49" t="str">
        <f>IF(ISBLANK(G49),"Çalışıyor","Ayrıldı")</f>
        <v>Çalışıyor</v>
      </c>
      <c r="F49" t="str">
        <f t="shared" ca="1" si="0"/>
        <v>22 Yıl - 0 Ay - 24 Gün</v>
      </c>
      <c r="G49" s="1"/>
      <c r="H49" s="1"/>
    </row>
    <row r="50" spans="1:8" x14ac:dyDescent="0.45">
      <c r="A50">
        <v>2983</v>
      </c>
      <c r="B50" t="s">
        <v>155</v>
      </c>
      <c r="C50" t="s">
        <v>461</v>
      </c>
      <c r="D50" s="1">
        <v>38077</v>
      </c>
      <c r="E50" t="str">
        <f>IF(ISBLANK(G50),"Çalışıyor","Ayrıldı")</f>
        <v>Çalışıyor</v>
      </c>
      <c r="F50" t="str">
        <f t="shared" ca="1" si="0"/>
        <v>15 Yıl - 5 Ay - 0 Gün</v>
      </c>
      <c r="G50" s="1"/>
      <c r="H50" s="1"/>
    </row>
    <row r="51" spans="1:8" x14ac:dyDescent="0.45">
      <c r="A51">
        <v>4389</v>
      </c>
      <c r="B51" t="s">
        <v>15</v>
      </c>
      <c r="C51" t="s">
        <v>418</v>
      </c>
      <c r="D51" s="1">
        <v>39016</v>
      </c>
      <c r="E51" t="str">
        <f>IF(ISBLANK(G51),"Çalışıyor","Ayrıldı")</f>
        <v>Çalışıyor</v>
      </c>
      <c r="F51" t="str">
        <f t="shared" ca="1" si="0"/>
        <v>12 Yıl - 10 Ay - 5 Gün</v>
      </c>
      <c r="G51" s="1"/>
      <c r="H51" s="1"/>
    </row>
    <row r="52" spans="1:8" x14ac:dyDescent="0.45">
      <c r="A52">
        <v>4214</v>
      </c>
      <c r="B52" t="s">
        <v>410</v>
      </c>
      <c r="C52" t="s">
        <v>462</v>
      </c>
      <c r="D52" s="1">
        <v>40077</v>
      </c>
      <c r="E52" t="str">
        <f>IF(ISBLANK(G52),"Çalışıyor","Ayrıldı")</f>
        <v>Çalışıyor</v>
      </c>
      <c r="F52" t="str">
        <f t="shared" ca="1" si="0"/>
        <v>9 Yıl - 11 Ay - 10 Gün</v>
      </c>
      <c r="G52" s="1"/>
      <c r="H52" s="1"/>
    </row>
    <row r="53" spans="1:8" x14ac:dyDescent="0.45">
      <c r="A53">
        <v>2173</v>
      </c>
      <c r="B53" t="s">
        <v>330</v>
      </c>
      <c r="C53" t="s">
        <v>465</v>
      </c>
      <c r="D53" s="1">
        <v>39214</v>
      </c>
      <c r="E53" t="str">
        <f>IF(ISBLANK(G53),"Çalışıyor","Ayrıldı")</f>
        <v>Çalışıyor</v>
      </c>
      <c r="F53" t="str">
        <f t="shared" ca="1" si="0"/>
        <v>12 Yıl - 3 Ay - 19 Gün</v>
      </c>
      <c r="G53" s="1"/>
      <c r="H53" s="1"/>
    </row>
    <row r="54" spans="1:8" x14ac:dyDescent="0.45">
      <c r="A54">
        <v>3151</v>
      </c>
      <c r="B54" t="s">
        <v>132</v>
      </c>
      <c r="C54" t="s">
        <v>418</v>
      </c>
      <c r="D54" s="1">
        <v>37937</v>
      </c>
      <c r="E54" t="str">
        <f>IF(ISBLANK(G54),"Çalışıyor","Ayrıldı")</f>
        <v>Çalışıyor</v>
      </c>
      <c r="F54" t="str">
        <f t="shared" ca="1" si="0"/>
        <v>15 Yıl - 9 Ay - 19 Gün</v>
      </c>
      <c r="G54" s="1"/>
      <c r="H54" s="1"/>
    </row>
    <row r="55" spans="1:8" x14ac:dyDescent="0.45">
      <c r="A55">
        <v>3330</v>
      </c>
      <c r="B55" t="s">
        <v>385</v>
      </c>
      <c r="C55" t="s">
        <v>419</v>
      </c>
      <c r="D55" s="1">
        <v>33893</v>
      </c>
      <c r="E55" t="str">
        <f>IF(ISBLANK(G55),"Çalışıyor","Ayrıldı")</f>
        <v>Çalışıyor</v>
      </c>
      <c r="F55" t="str">
        <f t="shared" ca="1" si="0"/>
        <v>26 Yıl - 10 Ay - 15 Gün</v>
      </c>
      <c r="G55" s="1"/>
      <c r="H55" s="1"/>
    </row>
    <row r="56" spans="1:8" x14ac:dyDescent="0.45">
      <c r="A56">
        <v>2309</v>
      </c>
      <c r="B56" t="s">
        <v>3</v>
      </c>
      <c r="C56" t="s">
        <v>478</v>
      </c>
      <c r="D56" s="1">
        <v>34256</v>
      </c>
      <c r="E56" t="str">
        <f>IF(ISBLANK(G56),"Çalışıyor","Ayrıldı")</f>
        <v>Çalışıyor</v>
      </c>
      <c r="F56" t="str">
        <f t="shared" ca="1" si="0"/>
        <v>25 Yıl - 10 Ay - 17 Gün</v>
      </c>
      <c r="G56" s="1"/>
      <c r="H56" s="1"/>
    </row>
    <row r="57" spans="1:8" x14ac:dyDescent="0.45">
      <c r="A57">
        <v>4333</v>
      </c>
      <c r="B57" t="s">
        <v>259</v>
      </c>
      <c r="C57" t="s">
        <v>460</v>
      </c>
      <c r="D57" s="1">
        <v>32667</v>
      </c>
      <c r="E57" t="str">
        <f>IF(ISBLANK(G57),"Çalışıyor","Ayrıldı")</f>
        <v>Ayrıldı</v>
      </c>
      <c r="F57" t="str">
        <f t="shared" ca="1" si="0"/>
        <v>29 Yıl - 0 Ay - 3 Gün</v>
      </c>
      <c r="G57" s="1">
        <v>43262</v>
      </c>
      <c r="H57" s="1"/>
    </row>
    <row r="58" spans="1:8" x14ac:dyDescent="0.45">
      <c r="A58">
        <v>3358</v>
      </c>
      <c r="B58" t="s">
        <v>243</v>
      </c>
      <c r="C58" t="s">
        <v>468</v>
      </c>
      <c r="D58" s="1">
        <v>32725</v>
      </c>
      <c r="E58" t="str">
        <f>IF(ISBLANK(G58),"Çalışıyor","Ayrıldı")</f>
        <v>Ayrıldı</v>
      </c>
      <c r="F58" t="str">
        <f t="shared" ca="1" si="0"/>
        <v>28 Yıl - 10 Ay - 6 Gün</v>
      </c>
      <c r="G58" s="1">
        <v>43262</v>
      </c>
      <c r="H58" s="1"/>
    </row>
    <row r="59" spans="1:8" x14ac:dyDescent="0.45">
      <c r="A59">
        <v>3659</v>
      </c>
      <c r="B59" t="s">
        <v>221</v>
      </c>
      <c r="C59" t="s">
        <v>469</v>
      </c>
      <c r="D59" s="1">
        <v>39413</v>
      </c>
      <c r="E59" t="str">
        <f>IF(ISBLANK(G59),"Çalışıyor","Ayrıldı")</f>
        <v>Çalışıyor</v>
      </c>
      <c r="F59" t="str">
        <f t="shared" ca="1" si="0"/>
        <v>11 Yıl - 9 Ay - 4 Gün</v>
      </c>
      <c r="G59" s="1"/>
      <c r="H59" s="1"/>
    </row>
    <row r="60" spans="1:8" x14ac:dyDescent="0.45">
      <c r="A60">
        <v>2000</v>
      </c>
      <c r="B60" t="s">
        <v>141</v>
      </c>
      <c r="C60" t="s">
        <v>474</v>
      </c>
      <c r="D60" s="1">
        <v>37738</v>
      </c>
      <c r="E60" t="str">
        <f>IF(ISBLANK(G60),"Çalışıyor","Ayrıldı")</f>
        <v>Çalışıyor</v>
      </c>
      <c r="F60" t="str">
        <f t="shared" ca="1" si="0"/>
        <v>16 Yıl - 4 Ay - 4 Gün</v>
      </c>
      <c r="G60" s="1"/>
      <c r="H60" s="1"/>
    </row>
    <row r="61" spans="1:8" x14ac:dyDescent="0.45">
      <c r="A61">
        <v>3357</v>
      </c>
      <c r="B61" t="s">
        <v>63</v>
      </c>
      <c r="C61" t="s">
        <v>421</v>
      </c>
      <c r="D61" s="1">
        <v>41009</v>
      </c>
      <c r="E61" t="str">
        <f>IF(ISBLANK(G61),"Çalışıyor","Ayrıldı")</f>
        <v>Çalışıyor</v>
      </c>
      <c r="F61" t="str">
        <f t="shared" ca="1" si="0"/>
        <v>7 Yıl - 4 Ay - 21 Gün</v>
      </c>
      <c r="G61" s="1"/>
      <c r="H61" s="1"/>
    </row>
    <row r="62" spans="1:8" x14ac:dyDescent="0.45">
      <c r="A62">
        <v>2196</v>
      </c>
      <c r="B62" t="s">
        <v>230</v>
      </c>
      <c r="C62" t="s">
        <v>419</v>
      </c>
      <c r="D62" s="1">
        <v>37227</v>
      </c>
      <c r="E62" t="str">
        <f>IF(ISBLANK(G62),"Çalışıyor","Ayrıldı")</f>
        <v>Çalışıyor</v>
      </c>
      <c r="F62" t="str">
        <f t="shared" ca="1" si="0"/>
        <v>17 Yıl - 8 Ay - 29 Gün</v>
      </c>
      <c r="G62" s="1"/>
      <c r="H62" s="1"/>
    </row>
    <row r="63" spans="1:8" x14ac:dyDescent="0.45">
      <c r="A63">
        <v>2565</v>
      </c>
      <c r="B63" t="s">
        <v>92</v>
      </c>
      <c r="C63" t="s">
        <v>421</v>
      </c>
      <c r="D63" s="1">
        <v>39576</v>
      </c>
      <c r="E63" t="str">
        <f>IF(ISBLANK(G63),"Çalışıyor","Ayrıldı")</f>
        <v>Çalışıyor</v>
      </c>
      <c r="F63" t="str">
        <f t="shared" ca="1" si="0"/>
        <v>11 Yıl - 3 Ay - 23 Gün</v>
      </c>
      <c r="G63" s="1"/>
      <c r="H63" s="1"/>
    </row>
    <row r="64" spans="1:8" x14ac:dyDescent="0.45">
      <c r="A64">
        <v>3943</v>
      </c>
      <c r="B64" t="s">
        <v>262</v>
      </c>
      <c r="C64" t="s">
        <v>419</v>
      </c>
      <c r="D64" s="1">
        <v>40834</v>
      </c>
      <c r="E64" t="str">
        <f>IF(ISBLANK(G64),"Çalışıyor","Ayrıldı")</f>
        <v>Çalışıyor</v>
      </c>
      <c r="F64" t="str">
        <f t="shared" ca="1" si="0"/>
        <v>7 Yıl - 10 Ay - 13 Gün</v>
      </c>
      <c r="G64" s="1"/>
      <c r="H64" s="1"/>
    </row>
    <row r="65" spans="1:8" x14ac:dyDescent="0.45">
      <c r="A65">
        <v>3968</v>
      </c>
      <c r="B65" t="s">
        <v>131</v>
      </c>
      <c r="C65" t="s">
        <v>470</v>
      </c>
      <c r="D65" s="1">
        <v>35950</v>
      </c>
      <c r="E65" t="str">
        <f>IF(ISBLANK(G65),"Çalışıyor","Ayrıldı")</f>
        <v>Çalışıyor</v>
      </c>
      <c r="F65" t="str">
        <f t="shared" ca="1" si="0"/>
        <v>21 Yıl - 2 Ay - 27 Gün</v>
      </c>
      <c r="G65" s="1"/>
      <c r="H65" s="1"/>
    </row>
    <row r="66" spans="1:8" x14ac:dyDescent="0.45">
      <c r="A66">
        <v>4259</v>
      </c>
      <c r="B66" t="s">
        <v>292</v>
      </c>
      <c r="C66" t="s">
        <v>480</v>
      </c>
      <c r="D66" s="1">
        <v>38647</v>
      </c>
      <c r="E66" t="str">
        <f>IF(ISBLANK(G66),"Çalışıyor","Ayrıldı")</f>
        <v>Çalışıyor</v>
      </c>
      <c r="F66" t="str">
        <f t="shared" ca="1" si="0"/>
        <v>13 Yıl - 10 Ay - 9 Gün</v>
      </c>
      <c r="G66" s="1"/>
      <c r="H66" s="1"/>
    </row>
    <row r="67" spans="1:8" x14ac:dyDescent="0.45">
      <c r="A67">
        <v>4455</v>
      </c>
      <c r="B67" t="s">
        <v>190</v>
      </c>
      <c r="C67" t="s">
        <v>470</v>
      </c>
      <c r="D67" s="1">
        <v>36233</v>
      </c>
      <c r="E67" t="str">
        <f>IF(ISBLANK(G67),"Çalışıyor","Ayrıldı")</f>
        <v>Ayrıldı</v>
      </c>
      <c r="F67" t="str">
        <f t="shared" ref="F67:F130" ca="1" si="1">IF(ISBLANK(G67),INT(DAYS360(D67,TODAY(),0)/360)&amp;" Yıl - "&amp;INT(MOD(DAYS360(D67,TODAY(),0),360)/30)&amp;" Ay - "&amp;MOD(MOD(DAYS360(D67,TODAY(),0),360),30)&amp;" Gün",INT(DAYS360(D67,G67,0)/360)&amp;" Yıl - "&amp;INT(MOD(DAYS360(D67,G67,0),360)/30)&amp;" Ay - "&amp;MOD(MOD(DAYS360(D67,G67,0),360),30)&amp;" Gün")</f>
        <v>19 Yıl - 2 Ay - 27 Gün</v>
      </c>
      <c r="G67" s="1">
        <v>43262</v>
      </c>
      <c r="H67" s="1"/>
    </row>
    <row r="68" spans="1:8" x14ac:dyDescent="0.45">
      <c r="A68">
        <v>3187</v>
      </c>
      <c r="B68" t="s">
        <v>81</v>
      </c>
      <c r="C68" t="s">
        <v>473</v>
      </c>
      <c r="D68" s="1">
        <v>34364</v>
      </c>
      <c r="E68" t="str">
        <f>IF(ISBLANK(G68),"Çalışıyor","Ayrıldı")</f>
        <v>Çalışıyor</v>
      </c>
      <c r="F68" t="str">
        <f t="shared" ca="1" si="1"/>
        <v>25 Yıl - 7 Ay - 0 Gün</v>
      </c>
      <c r="G68" s="1"/>
      <c r="H68" s="1"/>
    </row>
    <row r="69" spans="1:8" x14ac:dyDescent="0.45">
      <c r="A69">
        <v>3010</v>
      </c>
      <c r="B69" t="s">
        <v>56</v>
      </c>
      <c r="C69" t="s">
        <v>421</v>
      </c>
      <c r="D69" s="1">
        <v>33179</v>
      </c>
      <c r="E69" t="str">
        <f>IF(ISBLANK(G69),"Çalışıyor","Ayrıldı")</f>
        <v>Ayrıldı</v>
      </c>
      <c r="F69" t="str">
        <f t="shared" ca="1" si="1"/>
        <v>4 Yıl - 7 Ay - 9 Gün</v>
      </c>
      <c r="G69" s="1">
        <v>34861</v>
      </c>
      <c r="H69" s="1"/>
    </row>
    <row r="70" spans="1:8" x14ac:dyDescent="0.45">
      <c r="A70">
        <v>4357</v>
      </c>
      <c r="B70" t="s">
        <v>256</v>
      </c>
      <c r="C70" t="s">
        <v>472</v>
      </c>
      <c r="D70" s="1">
        <v>39545</v>
      </c>
      <c r="E70" t="str">
        <f>IF(ISBLANK(G70),"Çalışıyor","Ayrıldı")</f>
        <v>Çalışıyor</v>
      </c>
      <c r="F70" t="str">
        <f t="shared" ca="1" si="1"/>
        <v>11 Yıl - 4 Ay - 24 Gün</v>
      </c>
      <c r="G70" s="1"/>
      <c r="H70" s="1"/>
    </row>
    <row r="71" spans="1:8" x14ac:dyDescent="0.45">
      <c r="A71">
        <v>4134</v>
      </c>
      <c r="B71" t="s">
        <v>319</v>
      </c>
      <c r="C71" t="s">
        <v>421</v>
      </c>
      <c r="D71" s="1">
        <v>32573</v>
      </c>
      <c r="E71" t="str">
        <f>IF(ISBLANK(G71),"Çalışıyor","Ayrıldı")</f>
        <v>Çalışıyor</v>
      </c>
      <c r="F71" t="str">
        <f t="shared" ca="1" si="1"/>
        <v>30 Yıl - 5 Ay - 25 Gün</v>
      </c>
      <c r="G71" s="1"/>
      <c r="H71" s="1"/>
    </row>
    <row r="72" spans="1:8" x14ac:dyDescent="0.45">
      <c r="A72">
        <v>3509</v>
      </c>
      <c r="B72" t="s">
        <v>214</v>
      </c>
      <c r="C72" t="s">
        <v>468</v>
      </c>
      <c r="D72" s="1">
        <v>37470</v>
      </c>
      <c r="E72" t="str">
        <f>IF(ISBLANK(G72),"Çalışıyor","Ayrıldı")</f>
        <v>Çalışıyor</v>
      </c>
      <c r="F72" t="str">
        <f t="shared" ca="1" si="1"/>
        <v>17 Yıl - 0 Ay - 29 Gün</v>
      </c>
      <c r="G72" s="1"/>
      <c r="H72" s="1"/>
    </row>
    <row r="73" spans="1:8" x14ac:dyDescent="0.45">
      <c r="A73">
        <v>2651</v>
      </c>
      <c r="B73" t="s">
        <v>106</v>
      </c>
      <c r="C73" t="s">
        <v>478</v>
      </c>
      <c r="D73" s="1">
        <v>40401</v>
      </c>
      <c r="E73" t="str">
        <f>IF(ISBLANK(G73),"Çalışıyor","Ayrıldı")</f>
        <v>Çalışıyor</v>
      </c>
      <c r="F73" t="str">
        <f t="shared" ca="1" si="1"/>
        <v>9 Yıl - 0 Ay - 20 Gün</v>
      </c>
      <c r="G73" s="1"/>
      <c r="H73" s="1"/>
    </row>
    <row r="74" spans="1:8" x14ac:dyDescent="0.45">
      <c r="A74">
        <v>2392</v>
      </c>
      <c r="B74" t="s">
        <v>329</v>
      </c>
      <c r="C74" t="s">
        <v>474</v>
      </c>
      <c r="D74" s="1">
        <v>35568</v>
      </c>
      <c r="E74" t="str">
        <f>IF(ISBLANK(G74),"Çalışıyor","Ayrıldı")</f>
        <v>Çalışıyor</v>
      </c>
      <c r="F74" t="str">
        <f t="shared" ca="1" si="1"/>
        <v>22 Yıl - 3 Ay - 13 Gün</v>
      </c>
      <c r="G74" s="1"/>
      <c r="H74" s="1"/>
    </row>
    <row r="75" spans="1:8" x14ac:dyDescent="0.45">
      <c r="A75">
        <v>4452</v>
      </c>
      <c r="B75" t="s">
        <v>370</v>
      </c>
      <c r="C75" t="s">
        <v>466</v>
      </c>
      <c r="D75" s="1">
        <v>33939</v>
      </c>
      <c r="E75" t="str">
        <f>IF(ISBLANK(G75),"Çalışıyor","Ayrıldı")</f>
        <v>Çalışıyor</v>
      </c>
      <c r="F75" t="str">
        <f t="shared" ca="1" si="1"/>
        <v>26 Yıl - 9 Ay - 0 Gün</v>
      </c>
      <c r="G75" s="1"/>
      <c r="H75" s="1"/>
    </row>
    <row r="76" spans="1:8" x14ac:dyDescent="0.45">
      <c r="A76">
        <v>2210</v>
      </c>
      <c r="B76" t="s">
        <v>274</v>
      </c>
      <c r="C76" t="s">
        <v>468</v>
      </c>
      <c r="D76" s="1">
        <v>33376</v>
      </c>
      <c r="E76" t="str">
        <f>IF(ISBLANK(G76),"Çalışıyor","Ayrıldı")</f>
        <v>Ayrıldı</v>
      </c>
      <c r="F76" t="str">
        <f t="shared" ca="1" si="1"/>
        <v>27 Yıl - 0 Ay - 23 Gün</v>
      </c>
      <c r="G76" s="1">
        <v>43262</v>
      </c>
      <c r="H76" s="1"/>
    </row>
    <row r="77" spans="1:8" x14ac:dyDescent="0.45">
      <c r="A77">
        <v>4189</v>
      </c>
      <c r="B77" t="s">
        <v>390</v>
      </c>
      <c r="C77" t="s">
        <v>480</v>
      </c>
      <c r="D77" s="1">
        <v>35656</v>
      </c>
      <c r="E77" t="str">
        <f>IF(ISBLANK(G77),"Çalışıyor","Ayrıldı")</f>
        <v>Ayrıldı</v>
      </c>
      <c r="F77" t="str">
        <f t="shared" ca="1" si="1"/>
        <v>20 Yıl - 9 Ay - 27 Gün</v>
      </c>
      <c r="G77" s="1">
        <v>43262</v>
      </c>
      <c r="H77" s="1"/>
    </row>
    <row r="78" spans="1:8" x14ac:dyDescent="0.45">
      <c r="A78">
        <v>2185</v>
      </c>
      <c r="B78" t="s">
        <v>403</v>
      </c>
      <c r="C78" t="s">
        <v>479</v>
      </c>
      <c r="D78" s="1">
        <v>40979</v>
      </c>
      <c r="E78" t="str">
        <f>IF(ISBLANK(G78),"Çalışıyor","Ayrıldı")</f>
        <v>Çalışıyor</v>
      </c>
      <c r="F78" t="str">
        <f t="shared" ca="1" si="1"/>
        <v>7 Yıl - 5 Ay - 20 Gün</v>
      </c>
      <c r="G78" s="1"/>
      <c r="H78" s="1"/>
    </row>
    <row r="79" spans="1:8" x14ac:dyDescent="0.45">
      <c r="A79">
        <v>3972</v>
      </c>
      <c r="B79" t="s">
        <v>156</v>
      </c>
      <c r="C79" t="s">
        <v>464</v>
      </c>
      <c r="D79" s="1">
        <v>34462</v>
      </c>
      <c r="E79" t="str">
        <f>IF(ISBLANK(G79),"Çalışıyor","Ayrıldı")</f>
        <v>Çalışıyor</v>
      </c>
      <c r="F79" t="str">
        <f t="shared" ca="1" si="1"/>
        <v>25 Yıl - 3 Ay - 23 Gün</v>
      </c>
      <c r="G79" s="1"/>
      <c r="H79" s="1"/>
    </row>
    <row r="80" spans="1:8" x14ac:dyDescent="0.45">
      <c r="A80">
        <v>3364</v>
      </c>
      <c r="B80" t="s">
        <v>129</v>
      </c>
      <c r="C80" t="s">
        <v>463</v>
      </c>
      <c r="D80" s="1">
        <v>42288</v>
      </c>
      <c r="E80" t="str">
        <f>IF(ISBLANK(G80),"Çalışıyor","Ayrıldı")</f>
        <v>Çalışıyor</v>
      </c>
      <c r="F80" t="str">
        <f t="shared" ca="1" si="1"/>
        <v>3 Yıl - 10 Ay - 20 Gün</v>
      </c>
      <c r="G80" s="1"/>
      <c r="H80" s="1"/>
    </row>
    <row r="81" spans="1:8" x14ac:dyDescent="0.45">
      <c r="A81">
        <v>2949</v>
      </c>
      <c r="B81" t="s">
        <v>356</v>
      </c>
      <c r="C81" t="s">
        <v>421</v>
      </c>
      <c r="D81" s="1">
        <v>38244</v>
      </c>
      <c r="E81" t="str">
        <f>IF(ISBLANK(G81),"Çalışıyor","Ayrıldı")</f>
        <v>Ayrıldı</v>
      </c>
      <c r="F81" t="str">
        <f t="shared" ca="1" si="1"/>
        <v>13 Yıl - 8 Ay - 27 Gün</v>
      </c>
      <c r="G81" s="1">
        <v>43262</v>
      </c>
      <c r="H81" s="1"/>
    </row>
    <row r="82" spans="1:8" x14ac:dyDescent="0.45">
      <c r="A82">
        <v>2023</v>
      </c>
      <c r="B82" t="s">
        <v>227</v>
      </c>
      <c r="C82" t="s">
        <v>465</v>
      </c>
      <c r="D82" s="1">
        <v>34655</v>
      </c>
      <c r="E82" t="str">
        <f>IF(ISBLANK(G82),"Çalışıyor","Ayrıldı")</f>
        <v>Çalışıyor</v>
      </c>
      <c r="F82" t="str">
        <f t="shared" ca="1" si="1"/>
        <v>24 Yıl - 9 Ay - 14 Gün</v>
      </c>
      <c r="G82" s="1"/>
      <c r="H82" s="1"/>
    </row>
    <row r="83" spans="1:8" x14ac:dyDescent="0.45">
      <c r="A83">
        <v>3410</v>
      </c>
      <c r="B83" t="s">
        <v>150</v>
      </c>
      <c r="C83" t="s">
        <v>463</v>
      </c>
      <c r="D83" s="1">
        <v>35893</v>
      </c>
      <c r="E83" t="str">
        <f>IF(ISBLANK(G83),"Çalışıyor","Ayrıldı")</f>
        <v>Çalışıyor</v>
      </c>
      <c r="F83" t="str">
        <f t="shared" ca="1" si="1"/>
        <v>21 Yıl - 4 Ay - 23 Gün</v>
      </c>
      <c r="G83" s="1"/>
      <c r="H83" s="1"/>
    </row>
    <row r="84" spans="1:8" x14ac:dyDescent="0.45">
      <c r="A84">
        <v>2027</v>
      </c>
      <c r="B84" t="s">
        <v>196</v>
      </c>
      <c r="C84" t="s">
        <v>461</v>
      </c>
      <c r="D84" s="1">
        <v>41595</v>
      </c>
      <c r="E84" t="str">
        <f>IF(ISBLANK(G84),"Çalışıyor","Ayrıldı")</f>
        <v>Çalışıyor</v>
      </c>
      <c r="F84" t="str">
        <f t="shared" ca="1" si="1"/>
        <v>5 Yıl - 9 Ay - 14 Gün</v>
      </c>
      <c r="G84" s="1"/>
      <c r="H84" s="1"/>
    </row>
    <row r="85" spans="1:8" x14ac:dyDescent="0.45">
      <c r="A85">
        <v>2363</v>
      </c>
      <c r="B85" t="s">
        <v>359</v>
      </c>
      <c r="C85" t="s">
        <v>471</v>
      </c>
      <c r="D85" s="1">
        <v>40703</v>
      </c>
      <c r="E85" t="str">
        <f>IF(ISBLANK(G85),"Çalışıyor","Ayrıldı")</f>
        <v>Çalışıyor</v>
      </c>
      <c r="F85" t="str">
        <f t="shared" ca="1" si="1"/>
        <v>8 Yıl - 2 Ay - 22 Gün</v>
      </c>
      <c r="G85" s="1"/>
      <c r="H85" s="1"/>
    </row>
    <row r="86" spans="1:8" x14ac:dyDescent="0.45">
      <c r="A86">
        <v>2896</v>
      </c>
      <c r="B86" t="s">
        <v>242</v>
      </c>
      <c r="C86" t="s">
        <v>463</v>
      </c>
      <c r="D86" s="1">
        <v>39056</v>
      </c>
      <c r="E86" t="str">
        <f>IF(ISBLANK(G86),"Çalışıyor","Ayrıldı")</f>
        <v>Çalışıyor</v>
      </c>
      <c r="F86" t="str">
        <f t="shared" ca="1" si="1"/>
        <v>12 Yıl - 8 Ay - 26 Gün</v>
      </c>
      <c r="G86" s="1"/>
      <c r="H86" s="1"/>
    </row>
    <row r="87" spans="1:8" x14ac:dyDescent="0.45">
      <c r="A87">
        <v>3843</v>
      </c>
      <c r="B87" t="s">
        <v>2</v>
      </c>
      <c r="C87" t="s">
        <v>421</v>
      </c>
      <c r="D87" s="1">
        <v>41060</v>
      </c>
      <c r="E87" t="str">
        <f>IF(ISBLANK(G87),"Çalışıyor","Ayrıldı")</f>
        <v>Çalışıyor</v>
      </c>
      <c r="F87" t="str">
        <f t="shared" ca="1" si="1"/>
        <v>7 Yıl - 3 Ay - 0 Gün</v>
      </c>
      <c r="G87" s="1"/>
      <c r="H87" s="1"/>
    </row>
    <row r="88" spans="1:8" x14ac:dyDescent="0.45">
      <c r="A88">
        <v>2730</v>
      </c>
      <c r="B88" t="s">
        <v>0</v>
      </c>
      <c r="C88" t="s">
        <v>471</v>
      </c>
      <c r="D88" s="1">
        <v>37757</v>
      </c>
      <c r="E88" t="str">
        <f>IF(ISBLANK(G88),"Çalışıyor","Ayrıldı")</f>
        <v>Ayrıldı</v>
      </c>
      <c r="F88" t="str">
        <f t="shared" ca="1" si="1"/>
        <v>15 Yıl - 0 Ay - 25 Gün</v>
      </c>
      <c r="G88" s="1">
        <v>43262</v>
      </c>
      <c r="H88" s="1"/>
    </row>
    <row r="89" spans="1:8" x14ac:dyDescent="0.45">
      <c r="A89">
        <v>2919</v>
      </c>
      <c r="B89" t="s">
        <v>363</v>
      </c>
      <c r="C89" t="s">
        <v>419</v>
      </c>
      <c r="D89" s="1">
        <v>42370</v>
      </c>
      <c r="E89" t="str">
        <f>IF(ISBLANK(G89),"Çalışıyor","Ayrıldı")</f>
        <v>Çalışıyor</v>
      </c>
      <c r="F89" t="str">
        <f t="shared" ca="1" si="1"/>
        <v>3 Yıl - 8 Ay - 0 Gün</v>
      </c>
      <c r="G89" s="1"/>
      <c r="H89" s="1"/>
    </row>
    <row r="90" spans="1:8" x14ac:dyDescent="0.45">
      <c r="A90">
        <v>4350</v>
      </c>
      <c r="B90" t="s">
        <v>211</v>
      </c>
      <c r="C90" t="s">
        <v>461</v>
      </c>
      <c r="D90" s="1">
        <v>42330</v>
      </c>
      <c r="E90" t="str">
        <f>IF(ISBLANK(G90),"Çalışıyor","Ayrıldı")</f>
        <v>Çalışıyor</v>
      </c>
      <c r="F90" t="str">
        <f t="shared" ca="1" si="1"/>
        <v>3 Yıl - 9 Ay - 9 Gün</v>
      </c>
      <c r="G90" s="1"/>
      <c r="H90" s="1"/>
    </row>
    <row r="91" spans="1:8" x14ac:dyDescent="0.45">
      <c r="A91">
        <v>2916</v>
      </c>
      <c r="B91" t="s">
        <v>344</v>
      </c>
      <c r="C91" t="s">
        <v>461</v>
      </c>
      <c r="D91" s="1">
        <v>37368</v>
      </c>
      <c r="E91" t="str">
        <f>IF(ISBLANK(G91),"Çalışıyor","Ayrıldı")</f>
        <v>Çalışıyor</v>
      </c>
      <c r="F91" t="str">
        <f t="shared" ca="1" si="1"/>
        <v>17 Yıl - 4 Ay - 9 Gün</v>
      </c>
      <c r="G91" s="1"/>
      <c r="H91" s="1"/>
    </row>
    <row r="92" spans="1:8" x14ac:dyDescent="0.45">
      <c r="A92">
        <v>4332</v>
      </c>
      <c r="B92" t="s">
        <v>398</v>
      </c>
      <c r="C92" t="s">
        <v>462</v>
      </c>
      <c r="D92" s="1">
        <v>36379</v>
      </c>
      <c r="E92" t="str">
        <f>IF(ISBLANK(G92),"Çalışıyor","Ayrıldı")</f>
        <v>Çalışıyor</v>
      </c>
      <c r="F92" t="str">
        <f t="shared" ca="1" si="1"/>
        <v>20 Yıl - 0 Ay - 24 Gün</v>
      </c>
      <c r="G92" s="1"/>
      <c r="H92" s="1"/>
    </row>
    <row r="93" spans="1:8" x14ac:dyDescent="0.45">
      <c r="A93">
        <v>2587</v>
      </c>
      <c r="B93" t="s">
        <v>353</v>
      </c>
      <c r="C93" t="s">
        <v>463</v>
      </c>
      <c r="D93" s="1">
        <v>36771</v>
      </c>
      <c r="E93" t="str">
        <f>IF(ISBLANK(G93),"Çalışıyor","Ayrıldı")</f>
        <v>Çalışıyor</v>
      </c>
      <c r="F93" t="str">
        <f t="shared" ca="1" si="1"/>
        <v>18 Yıl - 11 Ay - 29 Gün</v>
      </c>
      <c r="G93" s="1"/>
      <c r="H93" s="1"/>
    </row>
    <row r="94" spans="1:8" x14ac:dyDescent="0.45">
      <c r="A94">
        <v>3266</v>
      </c>
      <c r="B94" t="s">
        <v>387</v>
      </c>
      <c r="C94" t="s">
        <v>420</v>
      </c>
      <c r="D94" s="1">
        <v>39219</v>
      </c>
      <c r="E94" t="str">
        <f>IF(ISBLANK(G94),"Çalışıyor","Ayrıldı")</f>
        <v>Çalışıyor</v>
      </c>
      <c r="F94" t="str">
        <f t="shared" ca="1" si="1"/>
        <v>12 Yıl - 3 Ay - 14 Gün</v>
      </c>
      <c r="G94" s="1"/>
      <c r="H94" s="1"/>
    </row>
    <row r="95" spans="1:8" x14ac:dyDescent="0.45">
      <c r="A95">
        <v>3030</v>
      </c>
      <c r="B95" t="s">
        <v>110</v>
      </c>
      <c r="C95" t="s">
        <v>474</v>
      </c>
      <c r="D95" s="1">
        <v>39926</v>
      </c>
      <c r="E95" t="str">
        <f>IF(ISBLANK(G95),"Çalışıyor","Ayrıldı")</f>
        <v>Çalışıyor</v>
      </c>
      <c r="F95" t="str">
        <f t="shared" ca="1" si="1"/>
        <v>10 Yıl - 4 Ay - 8 Gün</v>
      </c>
      <c r="G95" s="1"/>
      <c r="H95" s="1"/>
    </row>
    <row r="96" spans="1:8" x14ac:dyDescent="0.45">
      <c r="A96">
        <v>2321</v>
      </c>
      <c r="B96" t="s">
        <v>325</v>
      </c>
      <c r="C96" t="s">
        <v>466</v>
      </c>
      <c r="D96" s="1">
        <v>36982</v>
      </c>
      <c r="E96" t="str">
        <f>IF(ISBLANK(G96),"Çalışıyor","Ayrıldı")</f>
        <v>Çalışıyor</v>
      </c>
      <c r="F96" t="str">
        <f t="shared" ca="1" si="1"/>
        <v>18 Yıl - 5 Ay - 0 Gün</v>
      </c>
      <c r="G96" s="1"/>
      <c r="H96" s="1"/>
    </row>
    <row r="97" spans="1:8" x14ac:dyDescent="0.45">
      <c r="A97">
        <v>2489</v>
      </c>
      <c r="B97" t="s">
        <v>307</v>
      </c>
      <c r="C97" t="s">
        <v>470</v>
      </c>
      <c r="D97" s="1">
        <v>42959</v>
      </c>
      <c r="E97" t="str">
        <f>IF(ISBLANK(G97),"Çalışıyor","Ayrıldı")</f>
        <v>Ayrıldı</v>
      </c>
      <c r="F97" t="str">
        <f t="shared" ca="1" si="1"/>
        <v>0 Yıl - 9 Ay - 29 Gün</v>
      </c>
      <c r="G97" s="1">
        <v>43262</v>
      </c>
      <c r="H97" s="1"/>
    </row>
    <row r="98" spans="1:8" x14ac:dyDescent="0.45">
      <c r="A98">
        <v>4182</v>
      </c>
      <c r="B98" t="s">
        <v>247</v>
      </c>
      <c r="C98" t="s">
        <v>478</v>
      </c>
      <c r="D98" s="1">
        <v>41832</v>
      </c>
      <c r="E98" t="str">
        <f>IF(ISBLANK(G98),"Çalışıyor","Ayrıldı")</f>
        <v>Çalışıyor</v>
      </c>
      <c r="F98" t="str">
        <f t="shared" ca="1" si="1"/>
        <v>5 Yıl - 1 Ay - 19 Gün</v>
      </c>
      <c r="G98" s="1"/>
      <c r="H98" s="1"/>
    </row>
    <row r="99" spans="1:8" x14ac:dyDescent="0.45">
      <c r="A99">
        <v>3569</v>
      </c>
      <c r="B99" t="s">
        <v>367</v>
      </c>
      <c r="C99" t="s">
        <v>468</v>
      </c>
      <c r="D99" s="1">
        <v>39348</v>
      </c>
      <c r="E99" t="str">
        <f>IF(ISBLANK(G99),"Çalışıyor","Ayrıldı")</f>
        <v>Çalışıyor</v>
      </c>
      <c r="F99" t="str">
        <f t="shared" ca="1" si="1"/>
        <v>11 Yıl - 11 Ay - 8 Gün</v>
      </c>
      <c r="G99" s="1"/>
      <c r="H99" s="1"/>
    </row>
    <row r="100" spans="1:8" x14ac:dyDescent="0.45">
      <c r="A100">
        <v>3295</v>
      </c>
      <c r="B100" t="s">
        <v>347</v>
      </c>
      <c r="C100" t="s">
        <v>473</v>
      </c>
      <c r="D100" s="1">
        <v>33891</v>
      </c>
      <c r="E100" t="str">
        <f>IF(ISBLANK(G100),"Çalışıyor","Ayrıldı")</f>
        <v>Çalışıyor</v>
      </c>
      <c r="F100" t="str">
        <f t="shared" ca="1" si="1"/>
        <v>26 Yıl - 10 Ay - 17 Gün</v>
      </c>
      <c r="G100" s="1"/>
      <c r="H100" s="1"/>
    </row>
    <row r="101" spans="1:8" x14ac:dyDescent="0.45">
      <c r="A101">
        <v>4509</v>
      </c>
      <c r="B101" t="s">
        <v>208</v>
      </c>
      <c r="C101" t="s">
        <v>419</v>
      </c>
      <c r="D101" s="1">
        <v>36973</v>
      </c>
      <c r="E101" t="str">
        <f>IF(ISBLANK(G101),"Çalışıyor","Ayrıldı")</f>
        <v>Çalışıyor</v>
      </c>
      <c r="F101" t="str">
        <f t="shared" ca="1" si="1"/>
        <v>18 Yıl - 5 Ay - 8 Gün</v>
      </c>
      <c r="G101" s="1"/>
      <c r="H101" s="1"/>
    </row>
    <row r="102" spans="1:8" x14ac:dyDescent="0.45">
      <c r="A102">
        <v>3483</v>
      </c>
      <c r="B102" t="s">
        <v>86</v>
      </c>
      <c r="C102" t="s">
        <v>475</v>
      </c>
      <c r="D102" s="1">
        <v>38539</v>
      </c>
      <c r="E102" t="str">
        <f>IF(ISBLANK(G102),"Çalışıyor","Ayrıldı")</f>
        <v>Çalışıyor</v>
      </c>
      <c r="F102" t="str">
        <f t="shared" ca="1" si="1"/>
        <v>14 Yıl - 1 Ay - 25 Gün</v>
      </c>
      <c r="G102" s="1"/>
      <c r="H102" s="1"/>
    </row>
    <row r="103" spans="1:8" x14ac:dyDescent="0.45">
      <c r="A103">
        <v>3680</v>
      </c>
      <c r="B103" t="s">
        <v>77</v>
      </c>
      <c r="C103" t="s">
        <v>480</v>
      </c>
      <c r="D103" s="1">
        <v>39409</v>
      </c>
      <c r="E103" t="str">
        <f>IF(ISBLANK(G103),"Çalışıyor","Ayrıldı")</f>
        <v>Çalışıyor</v>
      </c>
      <c r="F103" t="str">
        <f t="shared" ca="1" si="1"/>
        <v>11 Yıl - 9 Ay - 8 Gün</v>
      </c>
      <c r="G103" s="1"/>
      <c r="H103" s="1"/>
    </row>
    <row r="104" spans="1:8" x14ac:dyDescent="0.45">
      <c r="A104">
        <v>2958</v>
      </c>
      <c r="B104" t="s">
        <v>184</v>
      </c>
      <c r="C104" t="s">
        <v>463</v>
      </c>
      <c r="D104" s="1">
        <v>42891</v>
      </c>
      <c r="E104" t="str">
        <f>IF(ISBLANK(G104),"Çalışıyor","Ayrıldı")</f>
        <v>Çalışıyor</v>
      </c>
      <c r="F104" t="str">
        <f t="shared" ca="1" si="1"/>
        <v>2 Yıl - 2 Ay - 26 Gün</v>
      </c>
      <c r="G104" s="1"/>
      <c r="H104" s="1"/>
    </row>
    <row r="105" spans="1:8" x14ac:dyDescent="0.45">
      <c r="A105">
        <v>2873</v>
      </c>
      <c r="B105" t="s">
        <v>42</v>
      </c>
      <c r="C105" t="s">
        <v>466</v>
      </c>
      <c r="D105" s="1">
        <v>40697</v>
      </c>
      <c r="E105" t="str">
        <f>IF(ISBLANK(G105),"Çalışıyor","Ayrıldı")</f>
        <v>Çalışıyor</v>
      </c>
      <c r="F105" t="str">
        <f t="shared" ca="1" si="1"/>
        <v>8 Yıl - 2 Ay - 28 Gün</v>
      </c>
      <c r="G105" s="1"/>
      <c r="H105" s="1"/>
    </row>
    <row r="106" spans="1:8" x14ac:dyDescent="0.45">
      <c r="A106">
        <v>2404</v>
      </c>
      <c r="B106" t="s">
        <v>394</v>
      </c>
      <c r="C106" t="s">
        <v>467</v>
      </c>
      <c r="D106" s="1">
        <v>38324</v>
      </c>
      <c r="E106" t="str">
        <f>IF(ISBLANK(G106),"Çalışıyor","Ayrıldı")</f>
        <v>Çalışıyor</v>
      </c>
      <c r="F106" t="str">
        <f t="shared" ca="1" si="1"/>
        <v>14 Yıl - 8 Ay - 28 Gün</v>
      </c>
      <c r="G106" s="1"/>
      <c r="H106" s="1"/>
    </row>
    <row r="107" spans="1:8" x14ac:dyDescent="0.45">
      <c r="A107">
        <v>3058</v>
      </c>
      <c r="B107" t="s">
        <v>97</v>
      </c>
      <c r="C107" t="s">
        <v>481</v>
      </c>
      <c r="D107" s="1">
        <v>38837</v>
      </c>
      <c r="E107" t="str">
        <f>IF(ISBLANK(G107),"Çalışıyor","Ayrıldı")</f>
        <v>Çalışıyor</v>
      </c>
      <c r="F107" t="str">
        <f t="shared" ca="1" si="1"/>
        <v>13 Yıl - 4 Ay - 0 Gün</v>
      </c>
      <c r="G107" s="1"/>
      <c r="H107" s="1"/>
    </row>
    <row r="108" spans="1:8" x14ac:dyDescent="0.45">
      <c r="A108">
        <v>2627</v>
      </c>
      <c r="B108" t="s">
        <v>136</v>
      </c>
      <c r="C108" t="s">
        <v>461</v>
      </c>
      <c r="D108" s="1">
        <v>39545</v>
      </c>
      <c r="E108" t="str">
        <f>IF(ISBLANK(G108),"Çalışıyor","Ayrıldı")</f>
        <v>Ayrıldı</v>
      </c>
      <c r="F108" t="str">
        <f t="shared" ca="1" si="1"/>
        <v>10 Yıl - 2 Ay - 4 Gün</v>
      </c>
      <c r="G108" s="1">
        <v>43262</v>
      </c>
      <c r="H108" s="1"/>
    </row>
    <row r="109" spans="1:8" x14ac:dyDescent="0.45">
      <c r="A109">
        <v>2281</v>
      </c>
      <c r="B109" t="s">
        <v>224</v>
      </c>
      <c r="C109" t="s">
        <v>461</v>
      </c>
      <c r="D109" s="1">
        <v>33128</v>
      </c>
      <c r="E109" t="str">
        <f>IF(ISBLANK(G109),"Çalışıyor","Ayrıldı")</f>
        <v>Çalışıyor</v>
      </c>
      <c r="F109" t="str">
        <f t="shared" ca="1" si="1"/>
        <v>28 Yıl - 11 Ay - 19 Gün</v>
      </c>
      <c r="G109" s="1"/>
      <c r="H109" s="1"/>
    </row>
    <row r="110" spans="1:8" x14ac:dyDescent="0.45">
      <c r="A110">
        <v>2366</v>
      </c>
      <c r="B110" t="s">
        <v>4</v>
      </c>
      <c r="C110" t="s">
        <v>482</v>
      </c>
      <c r="D110" s="1">
        <v>35325</v>
      </c>
      <c r="E110" t="str">
        <f>IF(ISBLANK(G110),"Çalışıyor","Ayrıldı")</f>
        <v>Çalışıyor</v>
      </c>
      <c r="F110" t="str">
        <f t="shared" ca="1" si="1"/>
        <v>22 Yıl - 11 Ay - 14 Gün</v>
      </c>
      <c r="G110" s="1"/>
      <c r="H110" s="1"/>
    </row>
    <row r="111" spans="1:8" x14ac:dyDescent="0.45">
      <c r="A111">
        <v>4421</v>
      </c>
      <c r="B111" t="s">
        <v>409</v>
      </c>
      <c r="C111" t="s">
        <v>422</v>
      </c>
      <c r="D111" s="1">
        <v>41295</v>
      </c>
      <c r="E111" t="str">
        <f>IF(ISBLANK(G111),"Çalışıyor","Ayrıldı")</f>
        <v>Ayrıldı</v>
      </c>
      <c r="F111" t="str">
        <f t="shared" ca="1" si="1"/>
        <v>5 Yıl - 4 Ay - 20 Gün</v>
      </c>
      <c r="G111" s="1">
        <v>43262</v>
      </c>
      <c r="H111" s="1"/>
    </row>
    <row r="112" spans="1:8" x14ac:dyDescent="0.45">
      <c r="A112">
        <v>2218</v>
      </c>
      <c r="B112" t="s">
        <v>352</v>
      </c>
      <c r="C112" t="s">
        <v>476</v>
      </c>
      <c r="D112" s="1">
        <v>37522</v>
      </c>
      <c r="E112" t="str">
        <f>IF(ISBLANK(G112),"Çalışıyor","Ayrıldı")</f>
        <v>Çalışıyor</v>
      </c>
      <c r="F112" t="str">
        <f t="shared" ca="1" si="1"/>
        <v>16 Yıl - 11 Ay - 8 Gün</v>
      </c>
      <c r="G112" s="1"/>
      <c r="H112" s="1"/>
    </row>
    <row r="113" spans="1:8" x14ac:dyDescent="0.45">
      <c r="A113">
        <v>4486</v>
      </c>
      <c r="B113" t="s">
        <v>312</v>
      </c>
      <c r="C113" t="s">
        <v>482</v>
      </c>
      <c r="D113" s="1">
        <v>41033</v>
      </c>
      <c r="E113" t="str">
        <f>IF(ISBLANK(G113),"Çalışıyor","Ayrıldı")</f>
        <v>Çalışıyor</v>
      </c>
      <c r="F113" t="str">
        <f t="shared" ca="1" si="1"/>
        <v>7 Yıl - 3 Ay - 27 Gün</v>
      </c>
      <c r="G113" s="1"/>
      <c r="H113" s="1"/>
    </row>
    <row r="114" spans="1:8" x14ac:dyDescent="0.45">
      <c r="A114">
        <v>2629</v>
      </c>
      <c r="B114" t="s">
        <v>118</v>
      </c>
      <c r="C114" t="s">
        <v>420</v>
      </c>
      <c r="D114" s="1">
        <v>41023</v>
      </c>
      <c r="E114" t="str">
        <f>IF(ISBLANK(G114),"Çalışıyor","Ayrıldı")</f>
        <v>Çalışıyor</v>
      </c>
      <c r="F114" t="str">
        <f t="shared" ca="1" si="1"/>
        <v>7 Yıl - 4 Ay - 7 Gün</v>
      </c>
      <c r="G114" s="1"/>
      <c r="H114" s="1"/>
    </row>
    <row r="115" spans="1:8" x14ac:dyDescent="0.45">
      <c r="A115">
        <v>3585</v>
      </c>
      <c r="B115" t="s">
        <v>362</v>
      </c>
      <c r="C115" t="s">
        <v>481</v>
      </c>
      <c r="D115" s="1">
        <v>33516</v>
      </c>
      <c r="E115" t="str">
        <f>IF(ISBLANK(G115),"Çalışıyor","Ayrıldı")</f>
        <v>Çalışıyor</v>
      </c>
      <c r="F115" t="str">
        <f t="shared" ca="1" si="1"/>
        <v>27 Yıl - 10 Ay - 26 Gün</v>
      </c>
      <c r="G115" s="1"/>
      <c r="H115" s="1"/>
    </row>
    <row r="116" spans="1:8" x14ac:dyDescent="0.45">
      <c r="A116">
        <v>3678</v>
      </c>
      <c r="B116" t="s">
        <v>284</v>
      </c>
      <c r="C116" t="s">
        <v>464</v>
      </c>
      <c r="D116" s="1">
        <v>35186</v>
      </c>
      <c r="E116" t="str">
        <f>IF(ISBLANK(G116),"Çalışıyor","Ayrıldı")</f>
        <v>Çalışıyor</v>
      </c>
      <c r="F116" t="str">
        <f t="shared" ca="1" si="1"/>
        <v>23 Yıl - 4 Ay - 0 Gün</v>
      </c>
      <c r="G116" s="1"/>
      <c r="H116" s="1"/>
    </row>
    <row r="117" spans="1:8" x14ac:dyDescent="0.45">
      <c r="A117">
        <v>3111</v>
      </c>
      <c r="B117" t="s">
        <v>165</v>
      </c>
      <c r="C117" t="s">
        <v>460</v>
      </c>
      <c r="D117" s="1">
        <v>35365</v>
      </c>
      <c r="E117" t="str">
        <f>IF(ISBLANK(G117),"Çalışıyor","Ayrıldı")</f>
        <v>Çalışıyor</v>
      </c>
      <c r="F117" t="str">
        <f t="shared" ca="1" si="1"/>
        <v>22 Yıl - 10 Ay - 4 Gün</v>
      </c>
      <c r="G117" s="1"/>
      <c r="H117" s="1"/>
    </row>
    <row r="118" spans="1:8" x14ac:dyDescent="0.45">
      <c r="A118">
        <v>3036</v>
      </c>
      <c r="B118" t="s">
        <v>61</v>
      </c>
      <c r="C118" t="s">
        <v>480</v>
      </c>
      <c r="D118" s="1">
        <v>37750</v>
      </c>
      <c r="E118" t="str">
        <f>IF(ISBLANK(G118),"Çalışıyor","Ayrıldı")</f>
        <v>Çalışıyor</v>
      </c>
      <c r="F118" t="str">
        <f t="shared" ca="1" si="1"/>
        <v>16 Yıl - 3 Ay - 22 Gün</v>
      </c>
      <c r="G118" s="1"/>
      <c r="H118" s="1"/>
    </row>
    <row r="119" spans="1:8" x14ac:dyDescent="0.45">
      <c r="A119">
        <v>2293</v>
      </c>
      <c r="B119" t="s">
        <v>94</v>
      </c>
      <c r="C119" t="s">
        <v>461</v>
      </c>
      <c r="D119" s="1">
        <v>42125</v>
      </c>
      <c r="E119" t="str">
        <f>IF(ISBLANK(G119),"Çalışıyor","Ayrıldı")</f>
        <v>Ayrıldı</v>
      </c>
      <c r="F119" t="str">
        <f t="shared" ca="1" si="1"/>
        <v>3 Yıl - 1 Ay - 10 Gün</v>
      </c>
      <c r="G119" s="1">
        <v>43262</v>
      </c>
      <c r="H119" s="1"/>
    </row>
    <row r="120" spans="1:8" x14ac:dyDescent="0.45">
      <c r="A120">
        <v>2802</v>
      </c>
      <c r="B120" t="s">
        <v>404</v>
      </c>
      <c r="C120" t="s">
        <v>470</v>
      </c>
      <c r="D120" s="1">
        <v>38643</v>
      </c>
      <c r="E120" t="str">
        <f>IF(ISBLANK(G120),"Çalışıyor","Ayrıldı")</f>
        <v>Çalışıyor</v>
      </c>
      <c r="F120" t="str">
        <f t="shared" ca="1" si="1"/>
        <v>13 Yıl - 10 Ay - 13 Gün</v>
      </c>
      <c r="G120" s="1"/>
      <c r="H120" s="1"/>
    </row>
    <row r="121" spans="1:8" x14ac:dyDescent="0.45">
      <c r="A121">
        <v>3831</v>
      </c>
      <c r="B121" t="s">
        <v>162</v>
      </c>
      <c r="C121" t="s">
        <v>469</v>
      </c>
      <c r="D121" s="1">
        <v>41581</v>
      </c>
      <c r="E121" t="str">
        <f>IF(ISBLANK(G121),"Çalışıyor","Ayrıldı")</f>
        <v>Ayrıldı</v>
      </c>
      <c r="F121" t="str">
        <f t="shared" ca="1" si="1"/>
        <v>4 Yıl - 7 Ay - 8 Gün</v>
      </c>
      <c r="G121" s="1">
        <v>43262</v>
      </c>
      <c r="H121" s="1"/>
    </row>
    <row r="122" spans="1:8" x14ac:dyDescent="0.45">
      <c r="A122">
        <v>3762</v>
      </c>
      <c r="B122" t="s">
        <v>87</v>
      </c>
      <c r="C122" t="s">
        <v>471</v>
      </c>
      <c r="D122" s="1">
        <v>39270</v>
      </c>
      <c r="E122" t="str">
        <f>IF(ISBLANK(G122),"Çalışıyor","Ayrıldı")</f>
        <v>Çalışıyor</v>
      </c>
      <c r="F122" t="str">
        <f t="shared" ca="1" si="1"/>
        <v>12 Yıl - 1 Ay - 24 Gün</v>
      </c>
      <c r="G122" s="1"/>
      <c r="H122" s="1"/>
    </row>
    <row r="123" spans="1:8" x14ac:dyDescent="0.45">
      <c r="A123">
        <v>3024</v>
      </c>
      <c r="B123" t="s">
        <v>100</v>
      </c>
      <c r="C123" t="s">
        <v>474</v>
      </c>
      <c r="D123" s="1">
        <v>36325</v>
      </c>
      <c r="E123" t="str">
        <f>IF(ISBLANK(G123),"Çalışıyor","Ayrıldı")</f>
        <v>Ayrıldı</v>
      </c>
      <c r="F123" t="str">
        <f t="shared" ca="1" si="1"/>
        <v>18 Yıl - 11 Ay - 27 Gün</v>
      </c>
      <c r="G123" s="1">
        <v>43262</v>
      </c>
      <c r="H123" s="1"/>
    </row>
    <row r="124" spans="1:8" x14ac:dyDescent="0.45">
      <c r="A124">
        <v>3482</v>
      </c>
      <c r="B124" t="s">
        <v>30</v>
      </c>
      <c r="C124" t="s">
        <v>475</v>
      </c>
      <c r="D124" s="1">
        <v>43252</v>
      </c>
      <c r="E124" t="str">
        <f>IF(ISBLANK(G124),"Çalışıyor","Ayrıldı")</f>
        <v>Çalışıyor</v>
      </c>
      <c r="F124" t="str">
        <f t="shared" ca="1" si="1"/>
        <v>1 Yıl - 3 Ay - 0 Gün</v>
      </c>
      <c r="G124" s="1"/>
      <c r="H124" s="1"/>
    </row>
    <row r="125" spans="1:8" x14ac:dyDescent="0.45">
      <c r="A125">
        <v>3986</v>
      </c>
      <c r="B125" t="s">
        <v>177</v>
      </c>
      <c r="C125" t="s">
        <v>467</v>
      </c>
      <c r="D125" s="1">
        <v>42316</v>
      </c>
      <c r="E125" t="str">
        <f>IF(ISBLANK(G125),"Çalışıyor","Ayrıldı")</f>
        <v>Çalışıyor</v>
      </c>
      <c r="F125" t="str">
        <f t="shared" ca="1" si="1"/>
        <v>3 Yıl - 9 Ay - 23 Gün</v>
      </c>
      <c r="G125" s="1"/>
      <c r="H125" s="1"/>
    </row>
    <row r="126" spans="1:8" x14ac:dyDescent="0.45">
      <c r="A126">
        <v>3993</v>
      </c>
      <c r="B126" t="s">
        <v>57</v>
      </c>
      <c r="C126" t="s">
        <v>476</v>
      </c>
      <c r="D126" s="1">
        <v>38656</v>
      </c>
      <c r="E126" t="str">
        <f>IF(ISBLANK(G126),"Çalışıyor","Ayrıldı")</f>
        <v>Çalışıyor</v>
      </c>
      <c r="F126" t="str">
        <f t="shared" ca="1" si="1"/>
        <v>13 Yıl - 10 Ay - 0 Gün</v>
      </c>
      <c r="G126" s="1"/>
      <c r="H126" s="1"/>
    </row>
    <row r="127" spans="1:8" x14ac:dyDescent="0.45">
      <c r="A127">
        <v>4323</v>
      </c>
      <c r="B127" t="s">
        <v>72</v>
      </c>
      <c r="C127" t="s">
        <v>482</v>
      </c>
      <c r="D127" s="1">
        <v>33462</v>
      </c>
      <c r="E127" t="str">
        <f>IF(ISBLANK(G127),"Çalışıyor","Ayrıldı")</f>
        <v>Ayrıldı</v>
      </c>
      <c r="F127" t="str">
        <f t="shared" ca="1" si="1"/>
        <v>26 Yıl - 9 Ay - 29 Gün</v>
      </c>
      <c r="G127" s="1">
        <v>43262</v>
      </c>
      <c r="H127" s="1"/>
    </row>
    <row r="128" spans="1:8" x14ac:dyDescent="0.45">
      <c r="A128">
        <v>2240</v>
      </c>
      <c r="B128" t="s">
        <v>232</v>
      </c>
      <c r="C128" t="s">
        <v>467</v>
      </c>
      <c r="D128" s="1">
        <v>35715</v>
      </c>
      <c r="E128" t="str">
        <f>IF(ISBLANK(G128),"Çalışıyor","Ayrıldı")</f>
        <v>Çalışıyor</v>
      </c>
      <c r="F128" t="str">
        <f t="shared" ca="1" si="1"/>
        <v>21 Yıl - 10 Ay - 19 Gün</v>
      </c>
      <c r="G128" s="1"/>
      <c r="H128" s="1"/>
    </row>
    <row r="129" spans="1:8" x14ac:dyDescent="0.45">
      <c r="A129">
        <v>3987</v>
      </c>
      <c r="B129" t="s">
        <v>13</v>
      </c>
      <c r="C129" t="s">
        <v>469</v>
      </c>
      <c r="D129" s="1">
        <v>36355</v>
      </c>
      <c r="E129" t="str">
        <f>IF(ISBLANK(G129),"Çalışıyor","Ayrıldı")</f>
        <v>Çalışıyor</v>
      </c>
      <c r="F129" t="str">
        <f t="shared" ca="1" si="1"/>
        <v>20 Yıl - 1 Ay - 17 Gün</v>
      </c>
      <c r="G129" s="1"/>
      <c r="H129" s="1"/>
    </row>
    <row r="130" spans="1:8" x14ac:dyDescent="0.45">
      <c r="A130">
        <v>4339</v>
      </c>
      <c r="B130" t="s">
        <v>318</v>
      </c>
      <c r="C130" t="s">
        <v>466</v>
      </c>
      <c r="D130" s="1">
        <v>35457</v>
      </c>
      <c r="E130" t="str">
        <f>IF(ISBLANK(G130),"Çalışıyor","Ayrıldı")</f>
        <v>Çalışıyor</v>
      </c>
      <c r="F130" t="str">
        <f t="shared" ca="1" si="1"/>
        <v>22 Yıl - 7 Ay - 4 Gün</v>
      </c>
      <c r="G130" s="1"/>
      <c r="H130" s="1"/>
    </row>
    <row r="131" spans="1:8" x14ac:dyDescent="0.45">
      <c r="A131">
        <v>4402</v>
      </c>
      <c r="B131" t="s">
        <v>189</v>
      </c>
      <c r="C131" t="s">
        <v>463</v>
      </c>
      <c r="D131" s="1">
        <v>35421</v>
      </c>
      <c r="E131" t="str">
        <f>IF(ISBLANK(G131),"Çalışıyor","Ayrıldı")</f>
        <v>Çalışıyor</v>
      </c>
      <c r="F131" t="str">
        <f t="shared" ref="F131:F194" ca="1" si="2">IF(ISBLANK(G131),INT(DAYS360(D131,TODAY(),0)/360)&amp;" Yıl - "&amp;INT(MOD(DAYS360(D131,TODAY(),0),360)/30)&amp;" Ay - "&amp;MOD(MOD(DAYS360(D131,TODAY(),0),360),30)&amp;" Gün",INT(DAYS360(D131,G131,0)/360)&amp;" Yıl - "&amp;INT(MOD(DAYS360(D131,G131,0),360)/30)&amp;" Ay - "&amp;MOD(MOD(DAYS360(D131,G131,0),360),30)&amp;" Gün")</f>
        <v>22 Yıl - 8 Ay - 9 Gün</v>
      </c>
      <c r="G131" s="1"/>
      <c r="H131" s="1"/>
    </row>
    <row r="132" spans="1:8" x14ac:dyDescent="0.45">
      <c r="A132">
        <v>2358</v>
      </c>
      <c r="B132" t="s">
        <v>35</v>
      </c>
      <c r="C132" t="s">
        <v>466</v>
      </c>
      <c r="D132" s="1">
        <v>34836</v>
      </c>
      <c r="E132" t="str">
        <f>IF(ISBLANK(G132),"Çalışıyor","Ayrıldı")</f>
        <v>Çalışıyor</v>
      </c>
      <c r="F132" t="str">
        <f t="shared" ca="1" si="2"/>
        <v>24 Yıl - 3 Ay - 14 Gün</v>
      </c>
      <c r="G132" s="1"/>
      <c r="H132" s="1"/>
    </row>
    <row r="133" spans="1:8" x14ac:dyDescent="0.45">
      <c r="A133">
        <v>2063</v>
      </c>
      <c r="B133" t="s">
        <v>302</v>
      </c>
      <c r="C133" t="s">
        <v>467</v>
      </c>
      <c r="D133" s="1">
        <v>35890</v>
      </c>
      <c r="E133" t="str">
        <f>IF(ISBLANK(G133),"Çalışıyor","Ayrıldı")</f>
        <v>Çalışıyor</v>
      </c>
      <c r="F133" t="str">
        <f t="shared" ca="1" si="2"/>
        <v>21 Yıl - 4 Ay - 26 Gün</v>
      </c>
      <c r="G133" s="1"/>
      <c r="H133" s="1"/>
    </row>
    <row r="134" spans="1:8" x14ac:dyDescent="0.45">
      <c r="A134">
        <v>2009</v>
      </c>
      <c r="B134" t="s">
        <v>10</v>
      </c>
      <c r="C134" t="s">
        <v>471</v>
      </c>
      <c r="D134" s="1">
        <v>42556</v>
      </c>
      <c r="E134" t="str">
        <f>IF(ISBLANK(G134),"Çalışıyor","Ayrıldı")</f>
        <v>Çalışıyor</v>
      </c>
      <c r="F134" t="str">
        <f t="shared" ca="1" si="2"/>
        <v>3 Yıl - 1 Ay - 26 Gün</v>
      </c>
      <c r="G134" s="1"/>
      <c r="H134" s="1"/>
    </row>
    <row r="135" spans="1:8" x14ac:dyDescent="0.45">
      <c r="A135">
        <v>2811</v>
      </c>
      <c r="B135" t="s">
        <v>306</v>
      </c>
      <c r="C135" t="s">
        <v>422</v>
      </c>
      <c r="D135" s="1">
        <v>42417</v>
      </c>
      <c r="E135" t="str">
        <f>IF(ISBLANK(G135),"Çalışıyor","Ayrıldı")</f>
        <v>Çalışıyor</v>
      </c>
      <c r="F135" t="str">
        <f t="shared" ca="1" si="2"/>
        <v>3 Yıl - 6 Ay - 14 Gün</v>
      </c>
      <c r="G135" s="1"/>
      <c r="H135" s="1"/>
    </row>
    <row r="136" spans="1:8" x14ac:dyDescent="0.45">
      <c r="A136">
        <v>4406</v>
      </c>
      <c r="B136" t="s">
        <v>311</v>
      </c>
      <c r="C136" t="s">
        <v>419</v>
      </c>
      <c r="D136" s="1">
        <v>34963</v>
      </c>
      <c r="E136" t="str">
        <f>IF(ISBLANK(G136),"Çalışıyor","Ayrıldı")</f>
        <v>Ayrıldı</v>
      </c>
      <c r="F136" t="str">
        <f t="shared" ca="1" si="2"/>
        <v>22 Yıl - 8 Ay - 20 Gün</v>
      </c>
      <c r="G136" s="1">
        <v>43262</v>
      </c>
      <c r="H136" s="1"/>
    </row>
    <row r="137" spans="1:8" x14ac:dyDescent="0.45">
      <c r="A137">
        <v>3552</v>
      </c>
      <c r="B137" t="s">
        <v>163</v>
      </c>
      <c r="C137" t="s">
        <v>469</v>
      </c>
      <c r="D137" s="1">
        <v>42694</v>
      </c>
      <c r="E137" t="str">
        <f>IF(ISBLANK(G137),"Çalışıyor","Ayrıldı")</f>
        <v>Ayrıldı</v>
      </c>
      <c r="F137" t="str">
        <f t="shared" ca="1" si="2"/>
        <v>1 Yıl - 6 Ay - 21 Gün</v>
      </c>
      <c r="G137" s="1">
        <v>43262</v>
      </c>
      <c r="H137" s="1"/>
    </row>
    <row r="138" spans="1:8" x14ac:dyDescent="0.45">
      <c r="A138">
        <v>2029</v>
      </c>
      <c r="B138" t="s">
        <v>246</v>
      </c>
      <c r="C138" t="s">
        <v>419</v>
      </c>
      <c r="D138" s="1">
        <v>36963</v>
      </c>
      <c r="E138" t="str">
        <f>IF(ISBLANK(G138),"Çalışıyor","Ayrıldı")</f>
        <v>Çalışıyor</v>
      </c>
      <c r="F138" t="str">
        <f t="shared" ca="1" si="2"/>
        <v>18 Yıl - 5 Ay - 18 Gün</v>
      </c>
      <c r="G138" s="1"/>
      <c r="H138" s="1"/>
    </row>
    <row r="139" spans="1:8" x14ac:dyDescent="0.45">
      <c r="A139">
        <v>2233</v>
      </c>
      <c r="B139" t="s">
        <v>29</v>
      </c>
      <c r="C139" t="s">
        <v>464</v>
      </c>
      <c r="D139" s="1">
        <v>34939</v>
      </c>
      <c r="E139" t="str">
        <f>IF(ISBLANK(G139),"Çalışıyor","Ayrıldı")</f>
        <v>Çalışıyor</v>
      </c>
      <c r="F139" t="str">
        <f t="shared" ca="1" si="2"/>
        <v>24 Yıl - 0 Ay - 3 Gün</v>
      </c>
      <c r="G139" s="1"/>
      <c r="H139" s="1"/>
    </row>
    <row r="140" spans="1:8" x14ac:dyDescent="0.45">
      <c r="A140">
        <v>2101</v>
      </c>
      <c r="B140" t="s">
        <v>249</v>
      </c>
      <c r="C140" t="s">
        <v>472</v>
      </c>
      <c r="D140" s="1">
        <v>41196</v>
      </c>
      <c r="E140" t="str">
        <f>IF(ISBLANK(G140),"Çalışıyor","Ayrıldı")</f>
        <v>Çalışıyor</v>
      </c>
      <c r="F140" t="str">
        <f t="shared" ca="1" si="2"/>
        <v>6 Yıl - 10 Ay - 17 Gün</v>
      </c>
      <c r="G140" s="1"/>
      <c r="H140" s="1"/>
    </row>
    <row r="141" spans="1:8" x14ac:dyDescent="0.45">
      <c r="A141">
        <v>2735</v>
      </c>
      <c r="B141" t="s">
        <v>109</v>
      </c>
      <c r="C141" t="s">
        <v>464</v>
      </c>
      <c r="D141" s="1">
        <v>35475</v>
      </c>
      <c r="E141" t="str">
        <f>IF(ISBLANK(G141),"Çalışıyor","Ayrıldı")</f>
        <v>Çalışıyor</v>
      </c>
      <c r="F141" t="str">
        <f t="shared" ca="1" si="2"/>
        <v>22 Yıl - 6 Ay - 17 Gün</v>
      </c>
      <c r="G141" s="1"/>
      <c r="H141" s="1"/>
    </row>
    <row r="142" spans="1:8" x14ac:dyDescent="0.45">
      <c r="A142">
        <v>3836</v>
      </c>
      <c r="B142" t="s">
        <v>179</v>
      </c>
      <c r="C142" t="s">
        <v>471</v>
      </c>
      <c r="D142" s="1">
        <v>34937</v>
      </c>
      <c r="E142" t="str">
        <f>IF(ISBLANK(G142),"Çalışıyor","Ayrıldı")</f>
        <v>Ayrıldı</v>
      </c>
      <c r="F142" t="str">
        <f t="shared" ca="1" si="2"/>
        <v>22 Yıl - 9 Ay - 15 Gün</v>
      </c>
      <c r="G142" s="1">
        <v>43262</v>
      </c>
      <c r="H142" s="1"/>
    </row>
    <row r="143" spans="1:8" x14ac:dyDescent="0.45">
      <c r="A143">
        <v>4465</v>
      </c>
      <c r="B143" t="s">
        <v>1</v>
      </c>
      <c r="C143" t="s">
        <v>481</v>
      </c>
      <c r="D143" s="1">
        <v>40764</v>
      </c>
      <c r="E143" t="str">
        <f>IF(ISBLANK(G143),"Çalışıyor","Ayrıldı")</f>
        <v>Çalışıyor</v>
      </c>
      <c r="F143" t="str">
        <f t="shared" ca="1" si="2"/>
        <v>8 Yıl - 0 Ay - 22 Gün</v>
      </c>
      <c r="G143" s="1"/>
      <c r="H143" s="1"/>
    </row>
    <row r="144" spans="1:8" x14ac:dyDescent="0.45">
      <c r="A144">
        <v>3489</v>
      </c>
      <c r="B144" t="s">
        <v>334</v>
      </c>
      <c r="C144" t="s">
        <v>473</v>
      </c>
      <c r="D144" s="1">
        <v>41546</v>
      </c>
      <c r="E144" t="str">
        <f>IF(ISBLANK(G144),"Çalışıyor","Ayrıldı")</f>
        <v>Çalışıyor</v>
      </c>
      <c r="F144" t="str">
        <f t="shared" ca="1" si="2"/>
        <v>5 Yıl - 11 Ay - 2 Gün</v>
      </c>
      <c r="G144" s="1"/>
      <c r="H144" s="1"/>
    </row>
    <row r="145" spans="1:8" x14ac:dyDescent="0.45">
      <c r="A145">
        <v>3299</v>
      </c>
      <c r="B145" t="s">
        <v>40</v>
      </c>
      <c r="C145" t="s">
        <v>482</v>
      </c>
      <c r="D145" s="1">
        <v>34284</v>
      </c>
      <c r="E145" t="str">
        <f>IF(ISBLANK(G145),"Çalışıyor","Ayrıldı")</f>
        <v>Çalışıyor</v>
      </c>
      <c r="F145" t="str">
        <f t="shared" ca="1" si="2"/>
        <v>25 Yıl - 9 Ay - 20 Gün</v>
      </c>
      <c r="G145" s="1"/>
      <c r="H145" s="1"/>
    </row>
    <row r="146" spans="1:8" x14ac:dyDescent="0.45">
      <c r="A146">
        <v>3900</v>
      </c>
      <c r="B146" t="s">
        <v>71</v>
      </c>
      <c r="C146" t="s">
        <v>472</v>
      </c>
      <c r="D146" s="1">
        <v>34273</v>
      </c>
      <c r="E146" t="str">
        <f>IF(ISBLANK(G146),"Çalışıyor","Ayrıldı")</f>
        <v>Çalışıyor</v>
      </c>
      <c r="F146" t="str">
        <f t="shared" ca="1" si="2"/>
        <v>25 Yıl - 10 Ay - 0 Gün</v>
      </c>
      <c r="G146" s="1"/>
      <c r="H146" s="1"/>
    </row>
    <row r="147" spans="1:8" x14ac:dyDescent="0.45">
      <c r="A147">
        <v>3979</v>
      </c>
      <c r="B147" t="s">
        <v>117</v>
      </c>
      <c r="C147" t="s">
        <v>481</v>
      </c>
      <c r="D147" s="1">
        <v>35704</v>
      </c>
      <c r="E147" t="str">
        <f>IF(ISBLANK(G147),"Çalışıyor","Ayrıldı")</f>
        <v>Çalışıyor</v>
      </c>
      <c r="F147" t="str">
        <f t="shared" ca="1" si="2"/>
        <v>21 Yıl - 11 Ay - 0 Gün</v>
      </c>
      <c r="G147" s="1"/>
      <c r="H147" s="1"/>
    </row>
    <row r="148" spans="1:8" x14ac:dyDescent="0.45">
      <c r="A148">
        <v>2247</v>
      </c>
      <c r="B148" t="s">
        <v>164</v>
      </c>
      <c r="C148" t="s">
        <v>465</v>
      </c>
      <c r="D148" s="1">
        <v>39648</v>
      </c>
      <c r="E148" t="str">
        <f>IF(ISBLANK(G148),"Çalışıyor","Ayrıldı")</f>
        <v>Çalışıyor</v>
      </c>
      <c r="F148" t="str">
        <f t="shared" ca="1" si="2"/>
        <v>11 Yıl - 1 Ay - 12 Gün</v>
      </c>
      <c r="G148" s="1"/>
      <c r="H148" s="1"/>
    </row>
    <row r="149" spans="1:8" x14ac:dyDescent="0.45">
      <c r="A149">
        <v>2404</v>
      </c>
      <c r="B149" t="s">
        <v>60</v>
      </c>
      <c r="C149" t="s">
        <v>473</v>
      </c>
      <c r="D149" s="1">
        <v>38261</v>
      </c>
      <c r="E149" t="str">
        <f>IF(ISBLANK(G149),"Çalışıyor","Ayrıldı")</f>
        <v>Çalışıyor</v>
      </c>
      <c r="F149" t="str">
        <f t="shared" ca="1" si="2"/>
        <v>14 Yıl - 11 Ay - 0 Gün</v>
      </c>
      <c r="G149" s="1"/>
      <c r="H149" s="1"/>
    </row>
    <row r="150" spans="1:8" x14ac:dyDescent="0.45">
      <c r="A150">
        <v>3586</v>
      </c>
      <c r="B150" t="s">
        <v>173</v>
      </c>
      <c r="C150" t="s">
        <v>461</v>
      </c>
      <c r="D150" s="1">
        <v>43256</v>
      </c>
      <c r="E150" t="str">
        <f>IF(ISBLANK(G150),"Çalışıyor","Ayrıldı")</f>
        <v>Çalışıyor</v>
      </c>
      <c r="F150" t="str">
        <f t="shared" ca="1" si="2"/>
        <v>1 Yıl - 2 Ay - 26 Gün</v>
      </c>
      <c r="G150" s="1"/>
      <c r="H150" s="1"/>
    </row>
    <row r="151" spans="1:8" x14ac:dyDescent="0.45">
      <c r="A151">
        <v>3502</v>
      </c>
      <c r="B151" t="s">
        <v>193</v>
      </c>
      <c r="C151" t="s">
        <v>460</v>
      </c>
      <c r="D151" s="1">
        <v>34237</v>
      </c>
      <c r="E151" t="str">
        <f>IF(ISBLANK(G151),"Çalışıyor","Ayrıldı")</f>
        <v>Ayrıldı</v>
      </c>
      <c r="F151" t="str">
        <f t="shared" ca="1" si="2"/>
        <v>24 Yıl - 8 Ay - 16 Gün</v>
      </c>
      <c r="G151" s="1">
        <v>43262</v>
      </c>
      <c r="H151" s="1"/>
    </row>
    <row r="152" spans="1:8" x14ac:dyDescent="0.45">
      <c r="A152">
        <v>2706</v>
      </c>
      <c r="B152" t="s">
        <v>310</v>
      </c>
      <c r="C152" t="s">
        <v>420</v>
      </c>
      <c r="D152" s="1">
        <v>39014</v>
      </c>
      <c r="E152" t="str">
        <f>IF(ISBLANK(G152),"Çalışıyor","Ayrıldı")</f>
        <v>Çalışıyor</v>
      </c>
      <c r="F152" t="str">
        <f t="shared" ca="1" si="2"/>
        <v>12 Yıl - 10 Ay - 7 Gün</v>
      </c>
      <c r="G152" s="1"/>
      <c r="H152" s="1"/>
    </row>
    <row r="153" spans="1:8" x14ac:dyDescent="0.45">
      <c r="A153">
        <v>3899</v>
      </c>
      <c r="B153" t="s">
        <v>11</v>
      </c>
      <c r="C153" t="s">
        <v>418</v>
      </c>
      <c r="D153" s="1">
        <v>37399</v>
      </c>
      <c r="E153" t="str">
        <f>IF(ISBLANK(G153),"Çalışıyor","Ayrıldı")</f>
        <v>Çalışıyor</v>
      </c>
      <c r="F153" t="str">
        <f t="shared" ca="1" si="2"/>
        <v>17 Yıl - 3 Ay - 8 Gün</v>
      </c>
      <c r="G153" s="1"/>
      <c r="H153" s="1"/>
    </row>
    <row r="154" spans="1:8" x14ac:dyDescent="0.45">
      <c r="A154">
        <v>3362</v>
      </c>
      <c r="B154" t="s">
        <v>46</v>
      </c>
      <c r="C154" t="s">
        <v>464</v>
      </c>
      <c r="D154" s="1">
        <v>34805</v>
      </c>
      <c r="E154" t="str">
        <f>IF(ISBLANK(G154),"Çalışıyor","Ayrıldı")</f>
        <v>Çalışıyor</v>
      </c>
      <c r="F154" t="str">
        <f t="shared" ca="1" si="2"/>
        <v>24 Yıl - 4 Ay - 15 Gün</v>
      </c>
      <c r="G154" s="1"/>
      <c r="H154" s="1"/>
    </row>
    <row r="155" spans="1:8" x14ac:dyDescent="0.45">
      <c r="A155">
        <v>2744</v>
      </c>
      <c r="B155" t="s">
        <v>392</v>
      </c>
      <c r="C155" t="s">
        <v>419</v>
      </c>
      <c r="D155" s="1">
        <v>41023</v>
      </c>
      <c r="E155" t="str">
        <f>IF(ISBLANK(G155),"Çalışıyor","Ayrıldı")</f>
        <v>Çalışıyor</v>
      </c>
      <c r="F155" t="str">
        <f t="shared" ca="1" si="2"/>
        <v>7 Yıl - 4 Ay - 7 Gün</v>
      </c>
      <c r="G155" s="1"/>
      <c r="H155" s="1"/>
    </row>
    <row r="156" spans="1:8" x14ac:dyDescent="0.45">
      <c r="A156">
        <v>4149</v>
      </c>
      <c r="B156" t="s">
        <v>88</v>
      </c>
      <c r="C156" t="s">
        <v>471</v>
      </c>
      <c r="D156" s="1">
        <v>38442</v>
      </c>
      <c r="E156" t="str">
        <f>IF(ISBLANK(G156),"Çalışıyor","Ayrıldı")</f>
        <v>Çalışıyor</v>
      </c>
      <c r="F156" t="str">
        <f t="shared" ca="1" si="2"/>
        <v>14 Yıl - 5 Ay - 0 Gün</v>
      </c>
      <c r="G156" s="1"/>
      <c r="H156" s="1"/>
    </row>
    <row r="157" spans="1:8" x14ac:dyDescent="0.45">
      <c r="A157">
        <v>3946</v>
      </c>
      <c r="B157" t="s">
        <v>315</v>
      </c>
      <c r="C157" t="s">
        <v>475</v>
      </c>
      <c r="D157" s="1">
        <v>41664</v>
      </c>
      <c r="E157" t="str">
        <f>IF(ISBLANK(G157),"Çalışıyor","Ayrıldı")</f>
        <v>Çalışıyor</v>
      </c>
      <c r="F157" t="str">
        <f t="shared" ca="1" si="2"/>
        <v>5 Yıl - 7 Ay - 6 Gün</v>
      </c>
      <c r="G157" s="1"/>
      <c r="H157" s="1"/>
    </row>
    <row r="158" spans="1:8" x14ac:dyDescent="0.45">
      <c r="A158">
        <v>2453</v>
      </c>
      <c r="B158" t="s">
        <v>185</v>
      </c>
      <c r="C158" t="s">
        <v>460</v>
      </c>
      <c r="D158" s="1">
        <v>36804</v>
      </c>
      <c r="E158" t="str">
        <f>IF(ISBLANK(G158),"Çalışıyor","Ayrıldı")</f>
        <v>Çalışıyor</v>
      </c>
      <c r="F158" t="str">
        <f t="shared" ca="1" si="2"/>
        <v>18 Yıl - 10 Ay - 26 Gün</v>
      </c>
      <c r="G158" s="1"/>
      <c r="H158" s="1"/>
    </row>
    <row r="159" spans="1:8" x14ac:dyDescent="0.45">
      <c r="A159">
        <v>2429</v>
      </c>
      <c r="B159" t="s">
        <v>159</v>
      </c>
      <c r="C159" t="s">
        <v>422</v>
      </c>
      <c r="D159" s="1">
        <v>41283</v>
      </c>
      <c r="E159" t="str">
        <f>IF(ISBLANK(G159),"Çalışıyor","Ayrıldı")</f>
        <v>Çalışıyor</v>
      </c>
      <c r="F159" t="str">
        <f t="shared" ca="1" si="2"/>
        <v>6 Yıl - 7 Ay - 22 Gün</v>
      </c>
      <c r="G159" s="1"/>
      <c r="H159" s="1"/>
    </row>
    <row r="160" spans="1:8" x14ac:dyDescent="0.45">
      <c r="A160">
        <v>2989</v>
      </c>
      <c r="B160" t="s">
        <v>22</v>
      </c>
      <c r="C160" t="s">
        <v>481</v>
      </c>
      <c r="D160" s="1">
        <v>41458</v>
      </c>
      <c r="E160" t="str">
        <f>IF(ISBLANK(G160),"Çalışıyor","Ayrıldı")</f>
        <v>Çalışıyor</v>
      </c>
      <c r="F160" t="str">
        <f t="shared" ca="1" si="2"/>
        <v>6 Yıl - 1 Ay - 28 Gün</v>
      </c>
      <c r="G160" s="1"/>
      <c r="H160" s="1"/>
    </row>
    <row r="161" spans="1:8" x14ac:dyDescent="0.45">
      <c r="A161">
        <v>4275</v>
      </c>
      <c r="B161" t="s">
        <v>93</v>
      </c>
      <c r="C161" t="s">
        <v>476</v>
      </c>
      <c r="D161" s="1">
        <v>33224</v>
      </c>
      <c r="E161" t="str">
        <f>IF(ISBLANK(G161),"Çalışıyor","Ayrıldı")</f>
        <v>Çalışıyor</v>
      </c>
      <c r="F161" t="str">
        <f t="shared" ca="1" si="2"/>
        <v>28 Yıl - 8 Ay - 14 Gün</v>
      </c>
      <c r="G161" s="1"/>
      <c r="H161" s="1"/>
    </row>
    <row r="162" spans="1:8" x14ac:dyDescent="0.45">
      <c r="A162">
        <v>2603</v>
      </c>
      <c r="B162" t="s">
        <v>23</v>
      </c>
      <c r="C162" t="s">
        <v>462</v>
      </c>
      <c r="D162" s="1">
        <v>41906</v>
      </c>
      <c r="E162" t="str">
        <f>IF(ISBLANK(G162),"Çalışıyor","Ayrıldı")</f>
        <v>Çalışıyor</v>
      </c>
      <c r="F162" t="str">
        <f t="shared" ca="1" si="2"/>
        <v>4 Yıl - 11 Ay - 7 Gün</v>
      </c>
      <c r="G162" s="1"/>
      <c r="H162" s="1"/>
    </row>
    <row r="163" spans="1:8" x14ac:dyDescent="0.45">
      <c r="A163">
        <v>3656</v>
      </c>
      <c r="B163" t="s">
        <v>161</v>
      </c>
      <c r="C163" t="s">
        <v>463</v>
      </c>
      <c r="D163" s="1">
        <v>36620</v>
      </c>
      <c r="E163" t="str">
        <f>IF(ISBLANK(G163),"Çalışıyor","Ayrıldı")</f>
        <v>Çalışıyor</v>
      </c>
      <c r="F163" t="str">
        <f t="shared" ca="1" si="2"/>
        <v>19 Yıl - 4 Ay - 27 Gün</v>
      </c>
      <c r="G163" s="1"/>
      <c r="H163" s="1"/>
    </row>
    <row r="164" spans="1:8" x14ac:dyDescent="0.45">
      <c r="A164">
        <v>3896</v>
      </c>
      <c r="B164" t="s">
        <v>38</v>
      </c>
      <c r="C164" t="s">
        <v>480</v>
      </c>
      <c r="D164" s="1">
        <v>40331</v>
      </c>
      <c r="E164" t="str">
        <f>IF(ISBLANK(G164),"Çalışıyor","Ayrıldı")</f>
        <v>Çalışıyor</v>
      </c>
      <c r="F164" t="str">
        <f t="shared" ca="1" si="2"/>
        <v>9 Yıl - 2 Ay - 29 Gün</v>
      </c>
      <c r="G164" s="1"/>
      <c r="H164" s="1"/>
    </row>
    <row r="165" spans="1:8" x14ac:dyDescent="0.45">
      <c r="A165">
        <v>2410</v>
      </c>
      <c r="B165" t="s">
        <v>229</v>
      </c>
      <c r="C165" t="s">
        <v>477</v>
      </c>
      <c r="D165" s="1">
        <v>42595</v>
      </c>
      <c r="E165" t="str">
        <f>IF(ISBLANK(G165),"Çalışıyor","Ayrıldı")</f>
        <v>Çalışıyor</v>
      </c>
      <c r="F165" t="str">
        <f t="shared" ca="1" si="2"/>
        <v>3 Yıl - 0 Ay - 18 Gün</v>
      </c>
      <c r="G165" s="1"/>
      <c r="H165" s="1"/>
    </row>
    <row r="166" spans="1:8" x14ac:dyDescent="0.45">
      <c r="A166">
        <v>2082</v>
      </c>
      <c r="B166" t="s">
        <v>50</v>
      </c>
      <c r="C166" t="s">
        <v>418</v>
      </c>
      <c r="D166" s="1">
        <v>35413</v>
      </c>
      <c r="E166" t="str">
        <f>IF(ISBLANK(G166),"Çalışıyor","Ayrıldı")</f>
        <v>Ayrıldı</v>
      </c>
      <c r="F166" t="str">
        <f t="shared" ca="1" si="2"/>
        <v>21 Yıl - 5 Ay - 27 Gün</v>
      </c>
      <c r="G166" s="1">
        <v>43262</v>
      </c>
      <c r="H166" s="1"/>
    </row>
    <row r="167" spans="1:8" x14ac:dyDescent="0.45">
      <c r="A167">
        <v>4203</v>
      </c>
      <c r="B167" t="s">
        <v>137</v>
      </c>
      <c r="C167" t="s">
        <v>482</v>
      </c>
      <c r="D167" s="1">
        <v>35296</v>
      </c>
      <c r="E167" t="str">
        <f>IF(ISBLANK(G167),"Çalışıyor","Ayrıldı")</f>
        <v>Çalışıyor</v>
      </c>
      <c r="F167" t="str">
        <f t="shared" ca="1" si="2"/>
        <v>23 Yıl - 0 Ay - 12 Gün</v>
      </c>
      <c r="G167" s="1"/>
      <c r="H167" s="1"/>
    </row>
    <row r="168" spans="1:8" x14ac:dyDescent="0.45">
      <c r="A168">
        <v>3111</v>
      </c>
      <c r="B168" t="s">
        <v>379</v>
      </c>
      <c r="C168" t="s">
        <v>472</v>
      </c>
      <c r="D168" s="1">
        <v>35679</v>
      </c>
      <c r="E168" t="str">
        <f>IF(ISBLANK(G168),"Çalışıyor","Ayrıldı")</f>
        <v>Çalışıyor</v>
      </c>
      <c r="F168" t="str">
        <f t="shared" ca="1" si="2"/>
        <v>21 Yıl - 11 Ay - 25 Gün</v>
      </c>
      <c r="G168" s="1"/>
      <c r="H168" s="1"/>
    </row>
    <row r="169" spans="1:8" x14ac:dyDescent="0.45">
      <c r="A169">
        <v>3176</v>
      </c>
      <c r="B169" t="s">
        <v>197</v>
      </c>
      <c r="C169" t="s">
        <v>421</v>
      </c>
      <c r="D169" s="1">
        <v>36678</v>
      </c>
      <c r="E169" t="str">
        <f>IF(ISBLANK(G169),"Çalışıyor","Ayrıldı")</f>
        <v>Çalışıyor</v>
      </c>
      <c r="F169" t="str">
        <f t="shared" ca="1" si="2"/>
        <v>19 Yıl - 3 Ay - 0 Gün</v>
      </c>
      <c r="G169" s="1"/>
      <c r="H169" s="1"/>
    </row>
    <row r="170" spans="1:8" x14ac:dyDescent="0.45">
      <c r="A170">
        <v>4001</v>
      </c>
      <c r="B170" t="s">
        <v>145</v>
      </c>
      <c r="C170" t="s">
        <v>418</v>
      </c>
      <c r="D170" s="1">
        <v>37948</v>
      </c>
      <c r="E170" t="str">
        <f>IF(ISBLANK(G170),"Çalışıyor","Ayrıldı")</f>
        <v>Çalışıyor</v>
      </c>
      <c r="F170" t="str">
        <f t="shared" ca="1" si="2"/>
        <v>15 Yıl - 9 Ay - 8 Gün</v>
      </c>
      <c r="G170" s="1"/>
      <c r="H170" s="1"/>
    </row>
    <row r="171" spans="1:8" x14ac:dyDescent="0.45">
      <c r="A171">
        <v>3236</v>
      </c>
      <c r="B171" t="s">
        <v>124</v>
      </c>
      <c r="C171" t="s">
        <v>469</v>
      </c>
      <c r="D171" s="1">
        <v>41443</v>
      </c>
      <c r="E171" t="str">
        <f>IF(ISBLANK(G171),"Çalışıyor","Ayrıldı")</f>
        <v>Çalışıyor</v>
      </c>
      <c r="F171" t="str">
        <f t="shared" ca="1" si="2"/>
        <v>6 Yıl - 2 Ay - 13 Gün</v>
      </c>
      <c r="G171" s="1"/>
      <c r="H171" s="1"/>
    </row>
    <row r="172" spans="1:8" x14ac:dyDescent="0.45">
      <c r="A172">
        <v>3817</v>
      </c>
      <c r="B172" t="s">
        <v>166</v>
      </c>
      <c r="C172" t="s">
        <v>462</v>
      </c>
      <c r="D172" s="1">
        <v>34006</v>
      </c>
      <c r="E172" t="str">
        <f>IF(ISBLANK(G172),"Çalışıyor","Ayrıldı")</f>
        <v>Çalışıyor</v>
      </c>
      <c r="F172" t="str">
        <f t="shared" ca="1" si="2"/>
        <v>26 Yıl - 6 Ay - 25 Gün</v>
      </c>
      <c r="G172" s="1"/>
      <c r="H172" s="1"/>
    </row>
    <row r="173" spans="1:8" x14ac:dyDescent="0.45">
      <c r="A173">
        <v>2225</v>
      </c>
      <c r="B173" t="s">
        <v>287</v>
      </c>
      <c r="C173" t="s">
        <v>478</v>
      </c>
      <c r="D173" s="1">
        <v>36843</v>
      </c>
      <c r="E173" t="str">
        <f>IF(ISBLANK(G173),"Çalışıyor","Ayrıldı")</f>
        <v>Çalışıyor</v>
      </c>
      <c r="F173" t="str">
        <f t="shared" ca="1" si="2"/>
        <v>18 Yıl - 9 Ay - 18 Gün</v>
      </c>
      <c r="G173" s="1"/>
      <c r="H173" s="1"/>
    </row>
    <row r="174" spans="1:8" x14ac:dyDescent="0.45">
      <c r="A174">
        <v>2344</v>
      </c>
      <c r="B174" t="s">
        <v>236</v>
      </c>
      <c r="C174" t="s">
        <v>461</v>
      </c>
      <c r="D174" s="1">
        <v>37693</v>
      </c>
      <c r="E174" t="str">
        <f>IF(ISBLANK(G174),"Çalışıyor","Ayrıldı")</f>
        <v>Çalışıyor</v>
      </c>
      <c r="F174" t="str">
        <f t="shared" ca="1" si="2"/>
        <v>16 Yıl - 5 Ay - 18 Gün</v>
      </c>
      <c r="G174" s="1"/>
      <c r="H174" s="1"/>
    </row>
    <row r="175" spans="1:8" x14ac:dyDescent="0.45">
      <c r="A175">
        <v>2623</v>
      </c>
      <c r="B175" t="s">
        <v>169</v>
      </c>
      <c r="C175" t="s">
        <v>471</v>
      </c>
      <c r="D175" s="1">
        <v>41991</v>
      </c>
      <c r="E175" t="str">
        <f>IF(ISBLANK(G175),"Çalışıyor","Ayrıldı")</f>
        <v>Çalışıyor</v>
      </c>
      <c r="F175" t="str">
        <f t="shared" ca="1" si="2"/>
        <v>4 Yıl - 8 Ay - 13 Gün</v>
      </c>
      <c r="G175" s="1"/>
      <c r="H175" s="1"/>
    </row>
    <row r="176" spans="1:8" x14ac:dyDescent="0.45">
      <c r="A176">
        <v>4237</v>
      </c>
      <c r="B176" t="s">
        <v>304</v>
      </c>
      <c r="C176" t="s">
        <v>473</v>
      </c>
      <c r="D176" s="1">
        <v>37130</v>
      </c>
      <c r="E176" t="str">
        <f>IF(ISBLANK(G176),"Çalışıyor","Ayrıldı")</f>
        <v>Çalışıyor</v>
      </c>
      <c r="F176" t="str">
        <f t="shared" ca="1" si="2"/>
        <v>18 Yıl - 0 Ay - 4 Gün</v>
      </c>
      <c r="G176" s="1"/>
      <c r="H176" s="1"/>
    </row>
    <row r="177" spans="1:8" x14ac:dyDescent="0.45">
      <c r="A177">
        <v>4128</v>
      </c>
      <c r="B177" t="s">
        <v>395</v>
      </c>
      <c r="C177" t="s">
        <v>482</v>
      </c>
      <c r="D177" s="1">
        <v>37752</v>
      </c>
      <c r="E177" t="str">
        <f>IF(ISBLANK(G177),"Çalışıyor","Ayrıldı")</f>
        <v>Çalışıyor</v>
      </c>
      <c r="F177" t="str">
        <f t="shared" ca="1" si="2"/>
        <v>16 Yıl - 3 Ay - 20 Gün</v>
      </c>
      <c r="G177" s="1"/>
      <c r="H177" s="1"/>
    </row>
    <row r="178" spans="1:8" x14ac:dyDescent="0.45">
      <c r="A178">
        <v>2749</v>
      </c>
      <c r="B178" t="s">
        <v>16</v>
      </c>
      <c r="C178" t="s">
        <v>467</v>
      </c>
      <c r="D178" s="1">
        <v>37985</v>
      </c>
      <c r="E178" t="str">
        <f>IF(ISBLANK(G178),"Çalışıyor","Ayrıldı")</f>
        <v>Çalışıyor</v>
      </c>
      <c r="F178" t="str">
        <f t="shared" ca="1" si="2"/>
        <v>15 Yıl - 8 Ay - 0 Gün</v>
      </c>
      <c r="G178" s="1"/>
      <c r="H178" s="1"/>
    </row>
    <row r="179" spans="1:8" x14ac:dyDescent="0.45">
      <c r="A179">
        <v>3274</v>
      </c>
      <c r="B179" t="s">
        <v>44</v>
      </c>
      <c r="C179" t="s">
        <v>474</v>
      </c>
      <c r="D179" s="1">
        <v>35161</v>
      </c>
      <c r="E179" t="str">
        <f>IF(ISBLANK(G179),"Çalışıyor","Ayrıldı")</f>
        <v>Çalışıyor</v>
      </c>
      <c r="F179" t="str">
        <f t="shared" ca="1" si="2"/>
        <v>23 Yıl - 4 Ay - 25 Gün</v>
      </c>
      <c r="G179" s="1"/>
      <c r="H179" s="1"/>
    </row>
    <row r="180" spans="1:8" x14ac:dyDescent="0.45">
      <c r="A180">
        <v>2612</v>
      </c>
      <c r="B180" t="s">
        <v>119</v>
      </c>
      <c r="C180" t="s">
        <v>478</v>
      </c>
      <c r="D180" s="1">
        <v>38635</v>
      </c>
      <c r="E180" t="str">
        <f>IF(ISBLANK(G180),"Çalışıyor","Ayrıldı")</f>
        <v>Çalışıyor</v>
      </c>
      <c r="F180" t="str">
        <f t="shared" ca="1" si="2"/>
        <v>13 Yıl - 10 Ay - 21 Gün</v>
      </c>
      <c r="G180" s="1"/>
      <c r="H180" s="1"/>
    </row>
    <row r="181" spans="1:8" x14ac:dyDescent="0.45">
      <c r="A181">
        <v>2546</v>
      </c>
      <c r="B181" t="s">
        <v>326</v>
      </c>
      <c r="C181" t="s">
        <v>461</v>
      </c>
      <c r="D181" s="1">
        <v>41642</v>
      </c>
      <c r="E181" t="str">
        <f>IF(ISBLANK(G181),"Çalışıyor","Ayrıldı")</f>
        <v>Çalışıyor</v>
      </c>
      <c r="F181" t="str">
        <f t="shared" ca="1" si="2"/>
        <v>5 Yıl - 7 Ay - 28 Gün</v>
      </c>
      <c r="G181" s="1"/>
      <c r="H181" s="1"/>
    </row>
    <row r="182" spans="1:8" x14ac:dyDescent="0.45">
      <c r="A182">
        <v>3901</v>
      </c>
      <c r="B182" t="s">
        <v>53</v>
      </c>
      <c r="C182" t="s">
        <v>477</v>
      </c>
      <c r="D182" s="1">
        <v>38368</v>
      </c>
      <c r="E182" t="str">
        <f>IF(ISBLANK(G182),"Çalışıyor","Ayrıldı")</f>
        <v>Çalışıyor</v>
      </c>
      <c r="F182" t="str">
        <f t="shared" ca="1" si="2"/>
        <v>14 Yıl - 7 Ay - 15 Gün</v>
      </c>
      <c r="G182" s="1"/>
      <c r="H182" s="1"/>
    </row>
    <row r="183" spans="1:8" x14ac:dyDescent="0.45">
      <c r="A183">
        <v>4239</v>
      </c>
      <c r="B183" t="s">
        <v>203</v>
      </c>
      <c r="C183" t="s">
        <v>481</v>
      </c>
      <c r="D183" s="1">
        <v>36090</v>
      </c>
      <c r="E183" t="str">
        <f>IF(ISBLANK(G183),"Çalışıyor","Ayrıldı")</f>
        <v>Çalışıyor</v>
      </c>
      <c r="F183" t="str">
        <f t="shared" ca="1" si="2"/>
        <v>20 Yıl - 10 Ay - 9 Gün</v>
      </c>
      <c r="G183" s="1"/>
      <c r="H183" s="1"/>
    </row>
    <row r="184" spans="1:8" x14ac:dyDescent="0.45">
      <c r="A184">
        <v>3402</v>
      </c>
      <c r="B184" t="s">
        <v>393</v>
      </c>
      <c r="C184" t="s">
        <v>469</v>
      </c>
      <c r="D184" s="1">
        <v>37635</v>
      </c>
      <c r="E184" t="str">
        <f>IF(ISBLANK(G184),"Çalışıyor","Ayrıldı")</f>
        <v>Çalışıyor</v>
      </c>
      <c r="F184" t="str">
        <f t="shared" ca="1" si="2"/>
        <v>16 Yıl - 7 Ay - 17 Gün</v>
      </c>
      <c r="G184" s="1"/>
      <c r="H184" s="1"/>
    </row>
    <row r="185" spans="1:8" x14ac:dyDescent="0.45">
      <c r="A185">
        <v>2332</v>
      </c>
      <c r="B185" t="s">
        <v>198</v>
      </c>
      <c r="C185" t="s">
        <v>475</v>
      </c>
      <c r="D185" s="1">
        <v>37191</v>
      </c>
      <c r="E185" t="str">
        <f>IF(ISBLANK(G185),"Çalışıyor","Ayrıldı")</f>
        <v>Çalışıyor</v>
      </c>
      <c r="F185" t="str">
        <f t="shared" ca="1" si="2"/>
        <v>17 Yıl - 10 Ay - 4 Gün</v>
      </c>
      <c r="G185" s="1"/>
      <c r="H185" s="1"/>
    </row>
    <row r="186" spans="1:8" x14ac:dyDescent="0.45">
      <c r="A186">
        <v>2178</v>
      </c>
      <c r="B186" t="s">
        <v>400</v>
      </c>
      <c r="C186" t="s">
        <v>469</v>
      </c>
      <c r="D186" s="1">
        <v>40426</v>
      </c>
      <c r="E186" t="str">
        <f>IF(ISBLANK(G186),"Çalışıyor","Ayrıldı")</f>
        <v>Ayrıldı</v>
      </c>
      <c r="F186" t="str">
        <f t="shared" ca="1" si="2"/>
        <v>7 Yıl - 9 Ay - 6 Gün</v>
      </c>
      <c r="G186" s="1">
        <v>43262</v>
      </c>
      <c r="H186" s="1"/>
    </row>
    <row r="187" spans="1:8" x14ac:dyDescent="0.45">
      <c r="A187">
        <v>4420</v>
      </c>
      <c r="B187" t="s">
        <v>69</v>
      </c>
      <c r="C187" t="s">
        <v>420</v>
      </c>
      <c r="D187" s="1">
        <v>32730</v>
      </c>
      <c r="E187" t="str">
        <f>IF(ISBLANK(G187),"Çalışıyor","Ayrıldı")</f>
        <v>Çalışıyor</v>
      </c>
      <c r="F187" t="str">
        <f t="shared" ca="1" si="2"/>
        <v>30 Yıl - 0 Ay - 21 Gün</v>
      </c>
      <c r="G187" s="1"/>
      <c r="H187" s="1"/>
    </row>
    <row r="188" spans="1:8" x14ac:dyDescent="0.45">
      <c r="A188">
        <v>4166</v>
      </c>
      <c r="B188" t="s">
        <v>341</v>
      </c>
      <c r="C188" t="s">
        <v>473</v>
      </c>
      <c r="D188" s="1">
        <v>41982</v>
      </c>
      <c r="E188" t="str">
        <f>IF(ISBLANK(G188),"Çalışıyor","Ayrıldı")</f>
        <v>Ayrıldı</v>
      </c>
      <c r="F188" t="str">
        <f t="shared" ca="1" si="2"/>
        <v>3 Yıl - 6 Ay - 2 Gün</v>
      </c>
      <c r="G188" s="1">
        <v>43262</v>
      </c>
      <c r="H188" s="1"/>
    </row>
    <row r="189" spans="1:8" x14ac:dyDescent="0.45">
      <c r="A189">
        <v>2837</v>
      </c>
      <c r="B189" t="s">
        <v>210</v>
      </c>
      <c r="C189" t="s">
        <v>422</v>
      </c>
      <c r="D189" s="1">
        <v>40935</v>
      </c>
      <c r="E189" t="str">
        <f>IF(ISBLANK(G189),"Çalışıyor","Ayrıldı")</f>
        <v>Ayrıldı</v>
      </c>
      <c r="F189" t="str">
        <f t="shared" ca="1" si="2"/>
        <v>6 Yıl - 4 Ay - 14 Gün</v>
      </c>
      <c r="G189" s="1">
        <v>43262</v>
      </c>
      <c r="H189" s="1"/>
    </row>
    <row r="190" spans="1:8" x14ac:dyDescent="0.45">
      <c r="A190">
        <v>2702</v>
      </c>
      <c r="B190" t="s">
        <v>32</v>
      </c>
      <c r="C190" t="s">
        <v>462</v>
      </c>
      <c r="D190" s="1">
        <v>42313</v>
      </c>
      <c r="E190" t="str">
        <f>IF(ISBLANK(G190),"Çalışıyor","Ayrıldı")</f>
        <v>Çalışıyor</v>
      </c>
      <c r="F190" t="str">
        <f t="shared" ca="1" si="2"/>
        <v>3 Yıl - 9 Ay - 26 Gün</v>
      </c>
      <c r="G190" s="1"/>
      <c r="H190" s="1"/>
    </row>
    <row r="191" spans="1:8" x14ac:dyDescent="0.45">
      <c r="A191">
        <v>3577</v>
      </c>
      <c r="B191" t="s">
        <v>414</v>
      </c>
      <c r="C191" t="s">
        <v>477</v>
      </c>
      <c r="D191" s="1">
        <v>42770</v>
      </c>
      <c r="E191" t="str">
        <f>IF(ISBLANK(G191),"Çalışıyor","Ayrıldı")</f>
        <v>Çalışıyor</v>
      </c>
      <c r="F191" t="str">
        <f t="shared" ca="1" si="2"/>
        <v>2 Yıl - 6 Ay - 27 Gün</v>
      </c>
      <c r="G191" s="1"/>
      <c r="H191" s="1"/>
    </row>
    <row r="192" spans="1:8" x14ac:dyDescent="0.45">
      <c r="A192">
        <v>2560</v>
      </c>
      <c r="B192" t="s">
        <v>333</v>
      </c>
      <c r="C192" t="s">
        <v>462</v>
      </c>
      <c r="D192" s="1">
        <v>40132</v>
      </c>
      <c r="E192" t="str">
        <f>IF(ISBLANK(G192),"Çalışıyor","Ayrıldı")</f>
        <v>Çalışıyor</v>
      </c>
      <c r="F192" t="str">
        <f t="shared" ca="1" si="2"/>
        <v>9 Yıl - 9 Ay - 16 Gün</v>
      </c>
      <c r="G192" s="1"/>
      <c r="H192" s="1"/>
    </row>
    <row r="193" spans="1:8" x14ac:dyDescent="0.45">
      <c r="A193">
        <v>3548</v>
      </c>
      <c r="B193" t="s">
        <v>65</v>
      </c>
      <c r="C193" t="s">
        <v>476</v>
      </c>
      <c r="D193" s="1">
        <v>42074</v>
      </c>
      <c r="E193" t="str">
        <f>IF(ISBLANK(G193),"Çalışıyor","Ayrıldı")</f>
        <v>Çalışıyor</v>
      </c>
      <c r="F193" t="str">
        <f t="shared" ca="1" si="2"/>
        <v>4 Yıl - 5 Ay - 20 Gün</v>
      </c>
      <c r="G193" s="1"/>
      <c r="H193" s="1"/>
    </row>
    <row r="194" spans="1:8" x14ac:dyDescent="0.45">
      <c r="A194">
        <v>3017</v>
      </c>
      <c r="B194" t="s">
        <v>381</v>
      </c>
      <c r="C194" t="s">
        <v>465</v>
      </c>
      <c r="D194" s="1">
        <v>32556</v>
      </c>
      <c r="E194" t="str">
        <f>IF(ISBLANK(G194),"Çalışıyor","Ayrıldı")</f>
        <v>Çalışıyor</v>
      </c>
      <c r="F194" t="str">
        <f t="shared" ca="1" si="2"/>
        <v>30 Yıl - 6 Ay - 14 Gün</v>
      </c>
      <c r="G194" s="1"/>
      <c r="H194" s="1"/>
    </row>
    <row r="195" spans="1:8" x14ac:dyDescent="0.45">
      <c r="A195">
        <v>3559</v>
      </c>
      <c r="B195" t="s">
        <v>337</v>
      </c>
      <c r="C195" t="s">
        <v>478</v>
      </c>
      <c r="D195" s="1">
        <v>36755</v>
      </c>
      <c r="E195" t="str">
        <f>IF(ISBLANK(G195),"Çalışıyor","Ayrıldı")</f>
        <v>Çalışıyor</v>
      </c>
      <c r="F195" t="str">
        <f t="shared" ref="F195:F258" ca="1" si="3">IF(ISBLANK(G195),INT(DAYS360(D195,TODAY(),0)/360)&amp;" Yıl - "&amp;INT(MOD(DAYS360(D195,TODAY(),0),360)/30)&amp;" Ay - "&amp;MOD(MOD(DAYS360(D195,TODAY(),0),360),30)&amp;" Gün",INT(DAYS360(D195,G195,0)/360)&amp;" Yıl - "&amp;INT(MOD(DAYS360(D195,G195,0),360)/30)&amp;" Ay - "&amp;MOD(MOD(DAYS360(D195,G195,0),360),30)&amp;" Gün")</f>
        <v>19 Yıl - 0 Ay - 14 Gün</v>
      </c>
      <c r="G195" s="1"/>
      <c r="H195" s="1"/>
    </row>
    <row r="196" spans="1:8" x14ac:dyDescent="0.45">
      <c r="A196">
        <v>3464</v>
      </c>
      <c r="B196" t="s">
        <v>98</v>
      </c>
      <c r="C196" t="s">
        <v>474</v>
      </c>
      <c r="D196" s="1">
        <v>40417</v>
      </c>
      <c r="E196" t="str">
        <f>IF(ISBLANK(G196),"Çalışıyor","Ayrıldı")</f>
        <v>Çalışıyor</v>
      </c>
      <c r="F196" t="str">
        <f t="shared" ca="1" si="3"/>
        <v>9 Yıl - 0 Ay - 4 Gün</v>
      </c>
      <c r="G196" s="1"/>
      <c r="H196" s="1"/>
    </row>
    <row r="197" spans="1:8" x14ac:dyDescent="0.45">
      <c r="A197">
        <v>2229</v>
      </c>
      <c r="B197" t="s">
        <v>371</v>
      </c>
      <c r="C197" t="s">
        <v>460</v>
      </c>
      <c r="D197" s="1">
        <v>37438</v>
      </c>
      <c r="E197" t="str">
        <f>IF(ISBLANK(G197),"Çalışıyor","Ayrıldı")</f>
        <v>Çalışıyor</v>
      </c>
      <c r="F197" t="str">
        <f t="shared" ca="1" si="3"/>
        <v>17 Yıl - 2 Ay - 0 Gün</v>
      </c>
      <c r="G197" s="1"/>
      <c r="H197" s="1"/>
    </row>
    <row r="198" spans="1:8" x14ac:dyDescent="0.45">
      <c r="A198">
        <v>1999</v>
      </c>
      <c r="B198" t="s">
        <v>96</v>
      </c>
      <c r="C198" t="s">
        <v>478</v>
      </c>
      <c r="D198" s="1">
        <v>43035</v>
      </c>
      <c r="E198" t="str">
        <f>IF(ISBLANK(G198),"Çalışıyor","Ayrıldı")</f>
        <v>Çalışıyor</v>
      </c>
      <c r="F198" t="str">
        <f t="shared" ca="1" si="3"/>
        <v>1 Yıl - 10 Ay - 4 Gün</v>
      </c>
      <c r="G198" s="1"/>
      <c r="H198" s="1"/>
    </row>
    <row r="199" spans="1:8" x14ac:dyDescent="0.45">
      <c r="A199">
        <v>2747</v>
      </c>
      <c r="B199" t="s">
        <v>39</v>
      </c>
      <c r="C199" t="s">
        <v>463</v>
      </c>
      <c r="D199" s="1">
        <v>33837</v>
      </c>
      <c r="E199" t="str">
        <f>IF(ISBLANK(G199),"Çalışıyor","Ayrıldı")</f>
        <v>Çalışıyor</v>
      </c>
      <c r="F199" t="str">
        <f t="shared" ca="1" si="3"/>
        <v>27 Yıl - 0 Ay - 10 Gün</v>
      </c>
      <c r="G199" s="1"/>
      <c r="H199" s="1"/>
    </row>
    <row r="200" spans="1:8" x14ac:dyDescent="0.45">
      <c r="A200">
        <v>2707</v>
      </c>
      <c r="B200" t="s">
        <v>223</v>
      </c>
      <c r="C200" t="s">
        <v>420</v>
      </c>
      <c r="D200" s="1">
        <v>36615</v>
      </c>
      <c r="E200" t="str">
        <f>IF(ISBLANK(G200),"Çalışıyor","Ayrıldı")</f>
        <v>Çalışıyor</v>
      </c>
      <c r="F200" t="str">
        <f t="shared" ca="1" si="3"/>
        <v>19 Yıl - 5 Ay - 0 Gün</v>
      </c>
      <c r="G200" s="1"/>
      <c r="H200" s="1"/>
    </row>
    <row r="201" spans="1:8" x14ac:dyDescent="0.45">
      <c r="A201">
        <v>2849</v>
      </c>
      <c r="B201" t="s">
        <v>217</v>
      </c>
      <c r="C201" t="s">
        <v>464</v>
      </c>
      <c r="D201" s="1">
        <v>41355</v>
      </c>
      <c r="E201" t="str">
        <f>IF(ISBLANK(G201),"Çalışıyor","Ayrıldı")</f>
        <v>Çalışıyor</v>
      </c>
      <c r="F201" t="str">
        <f t="shared" ca="1" si="3"/>
        <v>6 Yıl - 5 Ay - 9 Gün</v>
      </c>
      <c r="G201" s="1"/>
      <c r="H201" s="1"/>
    </row>
    <row r="202" spans="1:8" x14ac:dyDescent="0.45">
      <c r="A202">
        <v>3608</v>
      </c>
      <c r="B202" t="s">
        <v>52</v>
      </c>
      <c r="C202" t="s">
        <v>466</v>
      </c>
      <c r="D202" s="1">
        <v>39340</v>
      </c>
      <c r="E202" t="str">
        <f>IF(ISBLANK(G202),"Çalışıyor","Ayrıldı")</f>
        <v>Çalışıyor</v>
      </c>
      <c r="F202" t="str">
        <f t="shared" ca="1" si="3"/>
        <v>11 Yıl - 11 Ay - 16 Gün</v>
      </c>
      <c r="G202" s="1"/>
      <c r="H202" s="1"/>
    </row>
    <row r="203" spans="1:8" x14ac:dyDescent="0.45">
      <c r="A203">
        <v>2381</v>
      </c>
      <c r="B203" t="s">
        <v>70</v>
      </c>
      <c r="C203" t="s">
        <v>475</v>
      </c>
      <c r="D203" s="1">
        <v>42930</v>
      </c>
      <c r="E203" t="str">
        <f>IF(ISBLANK(G203),"Çalışıyor","Ayrıldı")</f>
        <v>Çalışıyor</v>
      </c>
      <c r="F203" t="str">
        <f t="shared" ca="1" si="3"/>
        <v>2 Yıl - 1 Ay - 17 Gün</v>
      </c>
      <c r="G203" s="1"/>
      <c r="H203" s="1"/>
    </row>
    <row r="204" spans="1:8" x14ac:dyDescent="0.45">
      <c r="A204">
        <v>2346</v>
      </c>
      <c r="B204" t="s">
        <v>234</v>
      </c>
      <c r="C204" t="s">
        <v>465</v>
      </c>
      <c r="D204" s="1">
        <v>42444</v>
      </c>
      <c r="E204" t="str">
        <f>IF(ISBLANK(G204),"Çalışıyor","Ayrıldı")</f>
        <v>Çalışıyor</v>
      </c>
      <c r="F204" t="str">
        <f t="shared" ca="1" si="3"/>
        <v>3 Yıl - 5 Ay - 16 Gün</v>
      </c>
      <c r="G204" s="1"/>
      <c r="H204" s="1"/>
    </row>
    <row r="205" spans="1:8" x14ac:dyDescent="0.45">
      <c r="A205">
        <v>2981</v>
      </c>
      <c r="B205" t="s">
        <v>275</v>
      </c>
      <c r="C205" t="s">
        <v>480</v>
      </c>
      <c r="D205" s="1">
        <v>40537</v>
      </c>
      <c r="E205" t="str">
        <f>IF(ISBLANK(G205),"Çalışıyor","Ayrıldı")</f>
        <v>Çalışıyor</v>
      </c>
      <c r="F205" t="str">
        <f t="shared" ca="1" si="3"/>
        <v>8 Yıl - 8 Ay - 6 Gün</v>
      </c>
      <c r="G205" s="1"/>
      <c r="H205" s="1"/>
    </row>
    <row r="206" spans="1:8" x14ac:dyDescent="0.45">
      <c r="A206">
        <v>3257</v>
      </c>
      <c r="B206" t="s">
        <v>405</v>
      </c>
      <c r="C206" t="s">
        <v>422</v>
      </c>
      <c r="D206" s="1">
        <v>40695</v>
      </c>
      <c r="E206" t="str">
        <f>IF(ISBLANK(G206),"Çalışıyor","Ayrıldı")</f>
        <v>Çalışıyor</v>
      </c>
      <c r="F206" t="str">
        <f t="shared" ca="1" si="3"/>
        <v>8 Yıl - 3 Ay - 0 Gün</v>
      </c>
      <c r="G206" s="1"/>
      <c r="H206" s="1"/>
    </row>
    <row r="207" spans="1:8" x14ac:dyDescent="0.45">
      <c r="A207">
        <v>4214</v>
      </c>
      <c r="B207" t="s">
        <v>235</v>
      </c>
      <c r="C207" t="s">
        <v>422</v>
      </c>
      <c r="D207" s="1">
        <v>35945</v>
      </c>
      <c r="E207" t="str">
        <f>IF(ISBLANK(G207),"Çalışıyor","Ayrıldı")</f>
        <v>Çalışıyor</v>
      </c>
      <c r="F207" t="str">
        <f t="shared" ca="1" si="3"/>
        <v>21 Yıl - 3 Ay - 0 Gün</v>
      </c>
      <c r="G207" s="1"/>
      <c r="H207" s="1"/>
    </row>
    <row r="208" spans="1:8" x14ac:dyDescent="0.45">
      <c r="A208">
        <v>2430</v>
      </c>
      <c r="B208" t="s">
        <v>322</v>
      </c>
      <c r="C208" t="s">
        <v>471</v>
      </c>
      <c r="D208" s="1">
        <v>43068</v>
      </c>
      <c r="E208" t="str">
        <f>IF(ISBLANK(G208),"Çalışıyor","Ayrıldı")</f>
        <v>Çalışıyor</v>
      </c>
      <c r="F208" t="str">
        <f t="shared" ca="1" si="3"/>
        <v>1 Yıl - 9 Ay - 2 Gün</v>
      </c>
      <c r="G208" s="1"/>
      <c r="H208" s="1"/>
    </row>
    <row r="209" spans="1:8" x14ac:dyDescent="0.45">
      <c r="A209">
        <v>3715</v>
      </c>
      <c r="B209" t="s">
        <v>188</v>
      </c>
      <c r="C209" t="s">
        <v>475</v>
      </c>
      <c r="D209" s="1">
        <v>39500</v>
      </c>
      <c r="E209" t="str">
        <f>IF(ISBLANK(G209),"Çalışıyor","Ayrıldı")</f>
        <v>Çalışıyor</v>
      </c>
      <c r="F209" t="str">
        <f t="shared" ca="1" si="3"/>
        <v>11 Yıl - 6 Ay - 9 Gün</v>
      </c>
      <c r="G209" s="1"/>
      <c r="H209" s="1"/>
    </row>
    <row r="210" spans="1:8" x14ac:dyDescent="0.45">
      <c r="A210">
        <v>2059</v>
      </c>
      <c r="B210" t="s">
        <v>226</v>
      </c>
      <c r="C210" t="s">
        <v>468</v>
      </c>
      <c r="D210" s="1">
        <v>39777</v>
      </c>
      <c r="E210" t="str">
        <f>IF(ISBLANK(G210),"Çalışıyor","Ayrıldı")</f>
        <v>Ayrıldı</v>
      </c>
      <c r="F210" t="str">
        <f t="shared" ca="1" si="3"/>
        <v>9 Yıl - 6 Ay - 16 Gün</v>
      </c>
      <c r="G210" s="1">
        <v>43262</v>
      </c>
      <c r="H210" s="1"/>
    </row>
    <row r="211" spans="1:8" x14ac:dyDescent="0.45">
      <c r="A211">
        <v>2497</v>
      </c>
      <c r="B211" t="s">
        <v>269</v>
      </c>
      <c r="C211" t="s">
        <v>421</v>
      </c>
      <c r="D211" s="1">
        <v>32726</v>
      </c>
      <c r="E211" t="str">
        <f>IF(ISBLANK(G211),"Çalışıyor","Ayrıldı")</f>
        <v>Ayrıldı</v>
      </c>
      <c r="F211" t="str">
        <f t="shared" ca="1" si="3"/>
        <v>27 Yıl - 10 Ay - 5 Gün</v>
      </c>
      <c r="G211" s="1">
        <v>42897</v>
      </c>
      <c r="H211" s="1"/>
    </row>
    <row r="212" spans="1:8" x14ac:dyDescent="0.45">
      <c r="A212">
        <v>3543</v>
      </c>
      <c r="B212" t="s">
        <v>408</v>
      </c>
      <c r="C212" t="s">
        <v>419</v>
      </c>
      <c r="D212" s="1">
        <v>36881</v>
      </c>
      <c r="E212" t="str">
        <f>IF(ISBLANK(G212),"Çalışıyor","Ayrıldı")</f>
        <v>Çalışıyor</v>
      </c>
      <c r="F212" t="str">
        <f t="shared" ca="1" si="3"/>
        <v>18 Yıl - 8 Ay - 10 Gün</v>
      </c>
      <c r="G212" s="1"/>
      <c r="H212" s="1"/>
    </row>
    <row r="213" spans="1:8" x14ac:dyDescent="0.45">
      <c r="A213">
        <v>3245</v>
      </c>
      <c r="B213" t="s">
        <v>327</v>
      </c>
      <c r="C213" t="s">
        <v>473</v>
      </c>
      <c r="D213" s="1">
        <v>34222</v>
      </c>
      <c r="E213" t="str">
        <f>IF(ISBLANK(G213),"Çalışıyor","Ayrıldı")</f>
        <v>Çalışıyor</v>
      </c>
      <c r="F213" t="str">
        <f t="shared" ca="1" si="3"/>
        <v>25 Yıl - 11 Ay - 21 Gün</v>
      </c>
      <c r="G213" s="1"/>
      <c r="H213" s="1"/>
    </row>
    <row r="214" spans="1:8" x14ac:dyDescent="0.45">
      <c r="A214">
        <v>2424</v>
      </c>
      <c r="B214" t="s">
        <v>240</v>
      </c>
      <c r="C214" t="s">
        <v>462</v>
      </c>
      <c r="D214" s="1">
        <v>38360</v>
      </c>
      <c r="E214" t="str">
        <f>IF(ISBLANK(G214),"Çalışıyor","Ayrıldı")</f>
        <v>Çalışıyor</v>
      </c>
      <c r="F214" t="str">
        <f t="shared" ca="1" si="3"/>
        <v>14 Yıl - 7 Ay - 23 Gün</v>
      </c>
      <c r="G214" s="1"/>
      <c r="H214" s="1"/>
    </row>
    <row r="215" spans="1:8" x14ac:dyDescent="0.45">
      <c r="A215">
        <v>2295</v>
      </c>
      <c r="B215" t="s">
        <v>206</v>
      </c>
      <c r="C215" t="s">
        <v>479</v>
      </c>
      <c r="D215" s="1">
        <v>35545</v>
      </c>
      <c r="E215" t="str">
        <f>IF(ISBLANK(G215),"Çalışıyor","Ayrıldı")</f>
        <v>Çalışıyor</v>
      </c>
      <c r="F215" t="str">
        <f t="shared" ca="1" si="3"/>
        <v>22 Yıl - 4 Ay - 6 Gün</v>
      </c>
      <c r="G215" s="1"/>
      <c r="H215" s="1"/>
    </row>
    <row r="216" spans="1:8" x14ac:dyDescent="0.45">
      <c r="A216">
        <v>3537</v>
      </c>
      <c r="B216" t="s">
        <v>401</v>
      </c>
      <c r="C216" t="s">
        <v>471</v>
      </c>
      <c r="D216" s="1">
        <v>40014</v>
      </c>
      <c r="E216" t="str">
        <f>IF(ISBLANK(G216),"Çalışıyor","Ayrıldı")</f>
        <v>Çalışıyor</v>
      </c>
      <c r="F216" t="str">
        <f t="shared" ca="1" si="3"/>
        <v>10 Yıl - 1 Ay - 11 Gün</v>
      </c>
      <c r="G216" s="1"/>
      <c r="H216" s="1"/>
    </row>
    <row r="217" spans="1:8" x14ac:dyDescent="0.45">
      <c r="A217">
        <v>4300</v>
      </c>
      <c r="B217" t="s">
        <v>24</v>
      </c>
      <c r="C217" t="s">
        <v>467</v>
      </c>
      <c r="D217" s="1">
        <v>42991</v>
      </c>
      <c r="E217" t="str">
        <f>IF(ISBLANK(G217),"Çalışıyor","Ayrıldı")</f>
        <v>Çalışıyor</v>
      </c>
      <c r="F217" t="str">
        <f t="shared" ca="1" si="3"/>
        <v>1 Yıl - 11 Ay - 18 Gün</v>
      </c>
      <c r="G217" s="1"/>
      <c r="H217" s="1"/>
    </row>
    <row r="218" spans="1:8" x14ac:dyDescent="0.45">
      <c r="A218">
        <v>3944</v>
      </c>
      <c r="B218" t="s">
        <v>207</v>
      </c>
      <c r="C218" t="s">
        <v>469</v>
      </c>
      <c r="D218" s="1">
        <v>41993</v>
      </c>
      <c r="E218" t="str">
        <f>IF(ISBLANK(G218),"Çalışıyor","Ayrıldı")</f>
        <v>Çalışıyor</v>
      </c>
      <c r="F218" t="str">
        <f t="shared" ca="1" si="3"/>
        <v>4 Yıl - 8 Ay - 11 Gün</v>
      </c>
      <c r="G218" s="1"/>
      <c r="H218" s="1"/>
    </row>
    <row r="219" spans="1:8" x14ac:dyDescent="0.45">
      <c r="A219">
        <v>2484</v>
      </c>
      <c r="B219" t="s">
        <v>222</v>
      </c>
      <c r="C219" t="s">
        <v>468</v>
      </c>
      <c r="D219" s="1">
        <v>34274</v>
      </c>
      <c r="E219" t="str">
        <f>IF(ISBLANK(G219),"Çalışıyor","Ayrıldı")</f>
        <v>Çalışıyor</v>
      </c>
      <c r="F219" t="str">
        <f t="shared" ca="1" si="3"/>
        <v>25 Yıl - 10 Ay - 0 Gün</v>
      </c>
      <c r="G219" s="1"/>
      <c r="H219" s="1"/>
    </row>
    <row r="220" spans="1:8" x14ac:dyDescent="0.45">
      <c r="A220">
        <v>3144</v>
      </c>
      <c r="B220" t="s">
        <v>104</v>
      </c>
      <c r="C220" t="s">
        <v>481</v>
      </c>
      <c r="D220" s="1">
        <v>40836</v>
      </c>
      <c r="E220" t="str">
        <f>IF(ISBLANK(G220),"Çalışıyor","Ayrıldı")</f>
        <v>Ayrıldı</v>
      </c>
      <c r="F220" t="str">
        <f t="shared" ca="1" si="3"/>
        <v>6 Yıl - 7 Ay - 21 Gün</v>
      </c>
      <c r="G220" s="1">
        <v>43262</v>
      </c>
      <c r="H220" s="1"/>
    </row>
    <row r="221" spans="1:8" x14ac:dyDescent="0.45">
      <c r="A221">
        <v>3216</v>
      </c>
      <c r="B221" t="s">
        <v>113</v>
      </c>
      <c r="C221" t="s">
        <v>479</v>
      </c>
      <c r="D221" s="1">
        <v>34651</v>
      </c>
      <c r="E221" t="str">
        <f>IF(ISBLANK(G221),"Çalışıyor","Ayrıldı")</f>
        <v>Çalışıyor</v>
      </c>
      <c r="F221" t="str">
        <f t="shared" ca="1" si="3"/>
        <v>24 Yıl - 9 Ay - 18 Gün</v>
      </c>
      <c r="G221" s="1"/>
      <c r="H221" s="1"/>
    </row>
    <row r="222" spans="1:8" x14ac:dyDescent="0.45">
      <c r="A222">
        <v>2481</v>
      </c>
      <c r="B222" t="s">
        <v>67</v>
      </c>
      <c r="C222" t="s">
        <v>466</v>
      </c>
      <c r="D222" s="1">
        <v>40647</v>
      </c>
      <c r="E222" t="str">
        <f>IF(ISBLANK(G222),"Çalışıyor","Ayrıldı")</f>
        <v>Çalışıyor</v>
      </c>
      <c r="F222" t="str">
        <f t="shared" ca="1" si="3"/>
        <v>8 Yıl - 4 Ay - 17 Gün</v>
      </c>
      <c r="G222" s="1"/>
      <c r="H222" s="1"/>
    </row>
    <row r="223" spans="1:8" x14ac:dyDescent="0.45">
      <c r="A223">
        <v>2392</v>
      </c>
      <c r="B223" t="s">
        <v>383</v>
      </c>
      <c r="C223" t="s">
        <v>419</v>
      </c>
      <c r="D223" s="1">
        <v>39509</v>
      </c>
      <c r="E223" t="str">
        <f>IF(ISBLANK(G223),"Çalışıyor","Ayrıldı")</f>
        <v>Çalışıyor</v>
      </c>
      <c r="F223" t="str">
        <f t="shared" ca="1" si="3"/>
        <v>11 Yıl - 5 Ay - 29 Gün</v>
      </c>
      <c r="G223" s="1"/>
      <c r="H223" s="1"/>
    </row>
    <row r="224" spans="1:8" x14ac:dyDescent="0.45">
      <c r="A224">
        <v>4319</v>
      </c>
      <c r="B224" t="s">
        <v>277</v>
      </c>
      <c r="C224" t="s">
        <v>475</v>
      </c>
      <c r="D224" s="1">
        <v>40995</v>
      </c>
      <c r="E224" t="str">
        <f>IF(ISBLANK(G224),"Çalışıyor","Ayrıldı")</f>
        <v>Çalışıyor</v>
      </c>
      <c r="F224" t="str">
        <f t="shared" ca="1" si="3"/>
        <v>7 Yıl - 5 Ay - 4 Gün</v>
      </c>
      <c r="G224" s="1"/>
      <c r="H224" s="1"/>
    </row>
    <row r="225" spans="1:8" x14ac:dyDescent="0.45">
      <c r="A225">
        <v>4430</v>
      </c>
      <c r="B225" t="s">
        <v>335</v>
      </c>
      <c r="C225" t="s">
        <v>472</v>
      </c>
      <c r="D225" s="1">
        <v>35801</v>
      </c>
      <c r="E225" t="str">
        <f>IF(ISBLANK(G225),"Çalışıyor","Ayrıldı")</f>
        <v>Çalışıyor</v>
      </c>
      <c r="F225" t="str">
        <f t="shared" ca="1" si="3"/>
        <v>21 Yıl - 7 Ay - 25 Gün</v>
      </c>
      <c r="G225" s="1"/>
      <c r="H225" s="1"/>
    </row>
    <row r="226" spans="1:8" x14ac:dyDescent="0.45">
      <c r="A226">
        <v>2110</v>
      </c>
      <c r="B226" t="s">
        <v>170</v>
      </c>
      <c r="C226" t="s">
        <v>477</v>
      </c>
      <c r="D226" s="1">
        <v>42562</v>
      </c>
      <c r="E226" t="str">
        <f>IF(ISBLANK(G226),"Çalışıyor","Ayrıldı")</f>
        <v>Çalışıyor</v>
      </c>
      <c r="F226" t="str">
        <f t="shared" ca="1" si="3"/>
        <v>3 Yıl - 1 Ay - 20 Gün</v>
      </c>
      <c r="G226" s="1"/>
      <c r="H226" s="1"/>
    </row>
    <row r="227" spans="1:8" x14ac:dyDescent="0.45">
      <c r="A227">
        <v>4030</v>
      </c>
      <c r="B227" t="s">
        <v>348</v>
      </c>
      <c r="C227" t="s">
        <v>418</v>
      </c>
      <c r="D227" s="1">
        <v>33373</v>
      </c>
      <c r="E227" t="str">
        <f>IF(ISBLANK(G227),"Çalışıyor","Ayrıldı")</f>
        <v>Çalışıyor</v>
      </c>
      <c r="F227" t="str">
        <f t="shared" ca="1" si="3"/>
        <v>28 Yıl - 3 Ay - 16 Gün</v>
      </c>
      <c r="G227" s="1"/>
      <c r="H227" s="1"/>
    </row>
    <row r="228" spans="1:8" x14ac:dyDescent="0.45">
      <c r="A228">
        <v>4041</v>
      </c>
      <c r="B228" t="s">
        <v>125</v>
      </c>
      <c r="C228" t="s">
        <v>482</v>
      </c>
      <c r="D228" s="1">
        <v>33734</v>
      </c>
      <c r="E228" t="str">
        <f>IF(ISBLANK(G228),"Çalışıyor","Ayrıldı")</f>
        <v>Çalışıyor</v>
      </c>
      <c r="F228" t="str">
        <f t="shared" ca="1" si="3"/>
        <v>27 Yıl - 3 Ay - 21 Gün</v>
      </c>
      <c r="G228" s="1"/>
      <c r="H228" s="1"/>
    </row>
    <row r="229" spans="1:8" x14ac:dyDescent="0.45">
      <c r="A229">
        <v>3997</v>
      </c>
      <c r="B229" t="s">
        <v>264</v>
      </c>
      <c r="C229" t="s">
        <v>470</v>
      </c>
      <c r="D229" s="1">
        <v>39015</v>
      </c>
      <c r="E229" t="str">
        <f>IF(ISBLANK(G229),"Çalışıyor","Ayrıldı")</f>
        <v>Çalışıyor</v>
      </c>
      <c r="F229" t="str">
        <f t="shared" ca="1" si="3"/>
        <v>12 Yıl - 10 Ay - 6 Gün</v>
      </c>
      <c r="G229" s="1"/>
      <c r="H229" s="1"/>
    </row>
    <row r="230" spans="1:8" x14ac:dyDescent="0.45">
      <c r="A230">
        <v>2205</v>
      </c>
      <c r="B230" t="s">
        <v>323</v>
      </c>
      <c r="C230" t="s">
        <v>418</v>
      </c>
      <c r="D230" s="1">
        <v>34258</v>
      </c>
      <c r="E230" t="str">
        <f>IF(ISBLANK(G230),"Çalışıyor","Ayrıldı")</f>
        <v>Çalışıyor</v>
      </c>
      <c r="F230" t="str">
        <f t="shared" ca="1" si="3"/>
        <v>25 Yıl - 10 Ay - 15 Gün</v>
      </c>
      <c r="G230" s="1"/>
      <c r="H230" s="1"/>
    </row>
    <row r="231" spans="1:8" x14ac:dyDescent="0.45">
      <c r="A231">
        <v>2789</v>
      </c>
      <c r="B231" t="s">
        <v>75</v>
      </c>
      <c r="C231" t="s">
        <v>461</v>
      </c>
      <c r="D231" s="1">
        <v>34622</v>
      </c>
      <c r="E231" t="str">
        <f>IF(ISBLANK(G231),"Çalışıyor","Ayrıldı")</f>
        <v>Ayrıldı</v>
      </c>
      <c r="F231" t="str">
        <f t="shared" ca="1" si="3"/>
        <v>23 Yıl - 7 Ay - 26 Gün</v>
      </c>
      <c r="G231" s="1">
        <v>43262</v>
      </c>
      <c r="H231" s="1"/>
    </row>
    <row r="232" spans="1:8" x14ac:dyDescent="0.45">
      <c r="A232">
        <v>4382</v>
      </c>
      <c r="B232" t="s">
        <v>28</v>
      </c>
      <c r="C232" t="s">
        <v>469</v>
      </c>
      <c r="D232" s="1">
        <v>40689</v>
      </c>
      <c r="E232" t="str">
        <f>IF(ISBLANK(G232),"Çalışıyor","Ayrıldı")</f>
        <v>Çalışıyor</v>
      </c>
      <c r="F232" t="str">
        <f t="shared" ca="1" si="3"/>
        <v>8 Yıl - 3 Ay - 5 Gün</v>
      </c>
      <c r="G232" s="1"/>
      <c r="H232" s="1"/>
    </row>
    <row r="233" spans="1:8" x14ac:dyDescent="0.45">
      <c r="A233">
        <v>3668</v>
      </c>
      <c r="B233" t="s">
        <v>317</v>
      </c>
      <c r="C233" t="s">
        <v>467</v>
      </c>
      <c r="D233" s="1">
        <v>38392</v>
      </c>
      <c r="E233" t="str">
        <f>IF(ISBLANK(G233),"Çalışıyor","Ayrıldı")</f>
        <v>Çalışıyor</v>
      </c>
      <c r="F233" t="str">
        <f t="shared" ca="1" si="3"/>
        <v>14 Yıl - 6 Ay - 22 Gün</v>
      </c>
      <c r="G233" s="1"/>
      <c r="H233" s="1"/>
    </row>
    <row r="234" spans="1:8" x14ac:dyDescent="0.45">
      <c r="A234">
        <v>4073</v>
      </c>
      <c r="B234" t="s">
        <v>167</v>
      </c>
      <c r="C234" t="s">
        <v>420</v>
      </c>
      <c r="D234" s="1">
        <v>41686</v>
      </c>
      <c r="E234" t="str">
        <f>IF(ISBLANK(G234),"Çalışıyor","Ayrıldı")</f>
        <v>Çalışıyor</v>
      </c>
      <c r="F234" t="str">
        <f t="shared" ca="1" si="3"/>
        <v>5 Yıl - 6 Ay - 15 Gün</v>
      </c>
      <c r="G234" s="1"/>
      <c r="H234" s="1"/>
    </row>
    <row r="235" spans="1:8" x14ac:dyDescent="0.45">
      <c r="A235">
        <v>2091</v>
      </c>
      <c r="B235" t="s">
        <v>299</v>
      </c>
      <c r="C235" t="s">
        <v>482</v>
      </c>
      <c r="D235" s="1">
        <v>40134</v>
      </c>
      <c r="E235" t="str">
        <f>IF(ISBLANK(G235),"Çalışıyor","Ayrıldı")</f>
        <v>Çalışıyor</v>
      </c>
      <c r="F235" t="str">
        <f t="shared" ca="1" si="3"/>
        <v>9 Yıl - 9 Ay - 14 Gün</v>
      </c>
      <c r="G235" s="1"/>
      <c r="H235" s="1"/>
    </row>
    <row r="236" spans="1:8" x14ac:dyDescent="0.45">
      <c r="A236">
        <v>2191</v>
      </c>
      <c r="B236" t="s">
        <v>305</v>
      </c>
      <c r="C236" t="s">
        <v>470</v>
      </c>
      <c r="D236" s="1">
        <v>37464</v>
      </c>
      <c r="E236" t="str">
        <f>IF(ISBLANK(G236),"Çalışıyor","Ayrıldı")</f>
        <v>Çalışıyor</v>
      </c>
      <c r="F236" t="str">
        <f t="shared" ca="1" si="3"/>
        <v>17 Yıl - 1 Ay - 4 Gün</v>
      </c>
      <c r="G236" s="1"/>
      <c r="H236" s="1"/>
    </row>
    <row r="237" spans="1:8" x14ac:dyDescent="0.45">
      <c r="A237">
        <v>3403</v>
      </c>
      <c r="B237" t="s">
        <v>316</v>
      </c>
      <c r="C237" t="s">
        <v>482</v>
      </c>
      <c r="D237" s="1">
        <v>34328</v>
      </c>
      <c r="E237" t="str">
        <f>IF(ISBLANK(G237),"Çalışıyor","Ayrıldı")</f>
        <v>Çalışıyor</v>
      </c>
      <c r="F237" t="str">
        <f t="shared" ca="1" si="3"/>
        <v>25 Yıl - 8 Ay - 6 Gün</v>
      </c>
      <c r="G237" s="1"/>
      <c r="H237" s="1"/>
    </row>
    <row r="238" spans="1:8" x14ac:dyDescent="0.45">
      <c r="A238">
        <v>3405</v>
      </c>
      <c r="B238" t="s">
        <v>45</v>
      </c>
      <c r="C238" t="s">
        <v>473</v>
      </c>
      <c r="D238" s="1">
        <v>40795</v>
      </c>
      <c r="E238" t="str">
        <f>IF(ISBLANK(G238),"Çalışıyor","Ayrıldı")</f>
        <v>Çalışıyor</v>
      </c>
      <c r="F238" t="str">
        <f t="shared" ca="1" si="3"/>
        <v>7 Yıl - 11 Ay - 22 Gün</v>
      </c>
      <c r="G238" s="1"/>
      <c r="H238" s="1"/>
    </row>
    <row r="239" spans="1:8" x14ac:dyDescent="0.45">
      <c r="A239">
        <v>2526</v>
      </c>
      <c r="B239" t="s">
        <v>252</v>
      </c>
      <c r="C239" t="s">
        <v>420</v>
      </c>
      <c r="D239" s="1">
        <v>36993</v>
      </c>
      <c r="E239" t="str">
        <f>IF(ISBLANK(G239),"Çalışıyor","Ayrıldı")</f>
        <v>Çalışıyor</v>
      </c>
      <c r="F239" t="str">
        <f t="shared" ca="1" si="3"/>
        <v>18 Yıl - 4 Ay - 19 Gün</v>
      </c>
      <c r="G239" s="1"/>
      <c r="H239" s="1"/>
    </row>
    <row r="240" spans="1:8" x14ac:dyDescent="0.45">
      <c r="A240">
        <v>3152</v>
      </c>
      <c r="B240" t="s">
        <v>204</v>
      </c>
      <c r="C240" t="s">
        <v>463</v>
      </c>
      <c r="D240" s="1">
        <v>33097</v>
      </c>
      <c r="E240" t="str">
        <f>IF(ISBLANK(G240),"Çalışıyor","Ayrıldı")</f>
        <v>Ayrıldı</v>
      </c>
      <c r="F240" t="str">
        <f t="shared" ca="1" si="3"/>
        <v>9 Yıl - 9 Ay - 29 Gün</v>
      </c>
      <c r="G240" s="1">
        <v>36688</v>
      </c>
      <c r="H240" s="1"/>
    </row>
    <row r="241" spans="1:8" x14ac:dyDescent="0.45">
      <c r="A241">
        <v>3180</v>
      </c>
      <c r="B241" t="s">
        <v>19</v>
      </c>
      <c r="C241" t="s">
        <v>477</v>
      </c>
      <c r="D241" s="1">
        <v>37753</v>
      </c>
      <c r="E241" t="str">
        <f>IF(ISBLANK(G241),"Çalışıyor","Ayrıldı")</f>
        <v>Ayrıldı</v>
      </c>
      <c r="F241" t="str">
        <f t="shared" ca="1" si="3"/>
        <v>15 Yıl - 0 Ay - 29 Gün</v>
      </c>
      <c r="G241" s="1">
        <v>43262</v>
      </c>
      <c r="H241" s="1"/>
    </row>
    <row r="242" spans="1:8" x14ac:dyDescent="0.45">
      <c r="A242">
        <v>4451</v>
      </c>
      <c r="B242" t="s">
        <v>340</v>
      </c>
      <c r="C242" t="s">
        <v>466</v>
      </c>
      <c r="D242" s="1">
        <v>39776</v>
      </c>
      <c r="E242" t="str">
        <f>IF(ISBLANK(G242),"Çalışıyor","Ayrıldı")</f>
        <v>Çalışıyor</v>
      </c>
      <c r="F242" t="str">
        <f t="shared" ca="1" si="3"/>
        <v>10 Yıl - 9 Ay - 7 Gün</v>
      </c>
      <c r="G242" s="1"/>
      <c r="H242" s="1"/>
    </row>
    <row r="243" spans="1:8" x14ac:dyDescent="0.45">
      <c r="A243">
        <v>3168</v>
      </c>
      <c r="B243" t="s">
        <v>183</v>
      </c>
      <c r="C243" t="s">
        <v>468</v>
      </c>
      <c r="D243" s="1">
        <v>35767</v>
      </c>
      <c r="E243" t="str">
        <f>IF(ISBLANK(G243),"Çalışıyor","Ayrıldı")</f>
        <v>Çalışıyor</v>
      </c>
      <c r="F243" t="str">
        <f t="shared" ca="1" si="3"/>
        <v>21 Yıl - 8 Ay - 28 Gün</v>
      </c>
      <c r="G243" s="1"/>
      <c r="H243" s="1"/>
    </row>
    <row r="244" spans="1:8" x14ac:dyDescent="0.45">
      <c r="A244">
        <v>3606</v>
      </c>
      <c r="B244" t="s">
        <v>281</v>
      </c>
      <c r="C244" t="s">
        <v>470</v>
      </c>
      <c r="D244" s="1">
        <v>37396</v>
      </c>
      <c r="E244" t="str">
        <f>IF(ISBLANK(G244),"Çalışıyor","Ayrıldı")</f>
        <v>Ayrıldı</v>
      </c>
      <c r="F244" t="str">
        <f t="shared" ca="1" si="3"/>
        <v>16 Yıl - 0 Ay - 21 Gün</v>
      </c>
      <c r="G244" s="1">
        <v>43262</v>
      </c>
      <c r="H244" s="1"/>
    </row>
    <row r="245" spans="1:8" x14ac:dyDescent="0.45">
      <c r="A245">
        <v>3540</v>
      </c>
      <c r="B245" t="s">
        <v>345</v>
      </c>
      <c r="C245" t="s">
        <v>466</v>
      </c>
      <c r="D245" s="1">
        <v>40157</v>
      </c>
      <c r="E245" t="str">
        <f>IF(ISBLANK(G245),"Çalışıyor","Ayrıldı")</f>
        <v>Çalışıyor</v>
      </c>
      <c r="F245" t="str">
        <f t="shared" ca="1" si="3"/>
        <v>9 Yıl - 8 Ay - 21 Gün</v>
      </c>
      <c r="G245" s="1"/>
      <c r="H245" s="1"/>
    </row>
    <row r="246" spans="1:8" x14ac:dyDescent="0.45">
      <c r="A246">
        <v>2704</v>
      </c>
      <c r="B246" t="s">
        <v>111</v>
      </c>
      <c r="C246" t="s">
        <v>461</v>
      </c>
      <c r="D246" s="1">
        <v>36958</v>
      </c>
      <c r="E246" t="str">
        <f>IF(ISBLANK(G246),"Çalışıyor","Ayrıldı")</f>
        <v>Çalışıyor</v>
      </c>
      <c r="F246" t="str">
        <f t="shared" ca="1" si="3"/>
        <v>18 Yıl - 5 Ay - 23 Gün</v>
      </c>
      <c r="G246" s="1"/>
      <c r="H246" s="1"/>
    </row>
    <row r="247" spans="1:8" x14ac:dyDescent="0.45">
      <c r="A247">
        <v>3086</v>
      </c>
      <c r="B247" t="s">
        <v>146</v>
      </c>
      <c r="C247" t="s">
        <v>418</v>
      </c>
      <c r="D247" s="1">
        <v>36926</v>
      </c>
      <c r="E247" t="str">
        <f>IF(ISBLANK(G247),"Çalışıyor","Ayrıldı")</f>
        <v>Çalışıyor</v>
      </c>
      <c r="F247" t="str">
        <f t="shared" ca="1" si="3"/>
        <v>18 Yıl - 6 Ay - 27 Gün</v>
      </c>
      <c r="G247" s="1"/>
      <c r="H247" s="1"/>
    </row>
    <row r="248" spans="1:8" x14ac:dyDescent="0.45">
      <c r="A248">
        <v>2332</v>
      </c>
      <c r="B248" t="s">
        <v>25</v>
      </c>
      <c r="C248" t="s">
        <v>481</v>
      </c>
      <c r="D248" s="1">
        <v>40415</v>
      </c>
      <c r="E248" t="str">
        <f>IF(ISBLANK(G248),"Çalışıyor","Ayrıldı")</f>
        <v>Ayrıldı</v>
      </c>
      <c r="F248" t="str">
        <f t="shared" ca="1" si="3"/>
        <v>7 Yıl - 9 Ay - 16 Gün</v>
      </c>
      <c r="G248" s="1">
        <v>43262</v>
      </c>
      <c r="H248" s="1"/>
    </row>
    <row r="249" spans="1:8" x14ac:dyDescent="0.45">
      <c r="A249">
        <v>3850</v>
      </c>
      <c r="B249" t="s">
        <v>366</v>
      </c>
      <c r="C249" t="s">
        <v>471</v>
      </c>
      <c r="D249" s="1">
        <v>37957</v>
      </c>
      <c r="E249" t="str">
        <f>IF(ISBLANK(G249),"Çalışıyor","Ayrıldı")</f>
        <v>Ayrıldı</v>
      </c>
      <c r="F249" t="str">
        <f t="shared" ca="1" si="3"/>
        <v>14 Yıl - 6 Ay - 9 Gün</v>
      </c>
      <c r="G249" s="1">
        <v>43262</v>
      </c>
      <c r="H249" s="1"/>
    </row>
    <row r="250" spans="1:8" x14ac:dyDescent="0.45">
      <c r="A250">
        <v>3540</v>
      </c>
      <c r="B250" t="s">
        <v>187</v>
      </c>
      <c r="C250" t="s">
        <v>475</v>
      </c>
      <c r="D250" s="1">
        <v>41351</v>
      </c>
      <c r="E250" t="str">
        <f>IF(ISBLANK(G250),"Çalışıyor","Ayrıldı")</f>
        <v>Çalışıyor</v>
      </c>
      <c r="F250" t="str">
        <f t="shared" ca="1" si="3"/>
        <v>6 Yıl - 5 Ay - 13 Gün</v>
      </c>
      <c r="G250" s="1"/>
      <c r="H250" s="1"/>
    </row>
    <row r="251" spans="1:8" x14ac:dyDescent="0.45">
      <c r="A251">
        <v>2847</v>
      </c>
      <c r="B251" t="s">
        <v>6</v>
      </c>
      <c r="C251" t="s">
        <v>462</v>
      </c>
      <c r="D251" s="1">
        <v>40541</v>
      </c>
      <c r="E251" t="str">
        <f>IF(ISBLANK(G251),"Çalışıyor","Ayrıldı")</f>
        <v>Ayrıldı</v>
      </c>
      <c r="F251" t="str">
        <f t="shared" ca="1" si="3"/>
        <v>7 Yıl - 5 Ay - 12 Gün</v>
      </c>
      <c r="G251" s="1">
        <v>43262</v>
      </c>
      <c r="H251" s="1"/>
    </row>
    <row r="252" spans="1:8" x14ac:dyDescent="0.45">
      <c r="A252">
        <v>4059</v>
      </c>
      <c r="B252" t="s">
        <v>290</v>
      </c>
      <c r="C252" t="s">
        <v>418</v>
      </c>
      <c r="D252" s="1">
        <v>36415</v>
      </c>
      <c r="E252" t="str">
        <f>IF(ISBLANK(G252),"Çalışıyor","Ayrıldı")</f>
        <v>Çalışıyor</v>
      </c>
      <c r="F252" t="str">
        <f t="shared" ca="1" si="3"/>
        <v>19 Yıl - 11 Ay - 19 Gün</v>
      </c>
      <c r="G252" s="1"/>
      <c r="H252" s="1"/>
    </row>
    <row r="253" spans="1:8" x14ac:dyDescent="0.45">
      <c r="A253">
        <v>3689</v>
      </c>
      <c r="B253" t="s">
        <v>239</v>
      </c>
      <c r="C253" t="s">
        <v>474</v>
      </c>
      <c r="D253" s="1">
        <v>43199</v>
      </c>
      <c r="E253" t="str">
        <f>IF(ISBLANK(G253),"Çalışıyor","Ayrıldı")</f>
        <v>Çalışıyor</v>
      </c>
      <c r="F253" t="str">
        <f t="shared" ca="1" si="3"/>
        <v>1 Yıl - 4 Ay - 22 Gün</v>
      </c>
      <c r="G253" s="1"/>
      <c r="H253" s="1"/>
    </row>
    <row r="254" spans="1:8" x14ac:dyDescent="0.45">
      <c r="A254">
        <v>3922</v>
      </c>
      <c r="B254" t="s">
        <v>8</v>
      </c>
      <c r="C254" t="s">
        <v>419</v>
      </c>
      <c r="D254" s="1">
        <v>39710</v>
      </c>
      <c r="E254" t="str">
        <f>IF(ISBLANK(G254),"Çalışıyor","Ayrıldı")</f>
        <v>Çalışıyor</v>
      </c>
      <c r="F254" t="str">
        <f t="shared" ca="1" si="3"/>
        <v>10 Yıl - 11 Ay - 12 Gün</v>
      </c>
      <c r="G254" s="1"/>
      <c r="H254" s="1"/>
    </row>
    <row r="255" spans="1:8" x14ac:dyDescent="0.45">
      <c r="A255">
        <v>3371</v>
      </c>
      <c r="B255" t="s">
        <v>251</v>
      </c>
      <c r="C255" t="s">
        <v>461</v>
      </c>
      <c r="D255" s="1">
        <v>35681</v>
      </c>
      <c r="E255" t="str">
        <f>IF(ISBLANK(G255),"Çalışıyor","Ayrıldı")</f>
        <v>Çalışıyor</v>
      </c>
      <c r="F255" t="str">
        <f t="shared" ca="1" si="3"/>
        <v>21 Yıl - 11 Ay - 23 Gün</v>
      </c>
      <c r="G255" s="1"/>
      <c r="H255" s="1"/>
    </row>
    <row r="256" spans="1:8" x14ac:dyDescent="0.45">
      <c r="A256">
        <v>3550</v>
      </c>
      <c r="B256" t="s">
        <v>411</v>
      </c>
      <c r="C256" t="s">
        <v>474</v>
      </c>
      <c r="D256" s="1">
        <v>33568</v>
      </c>
      <c r="E256" t="str">
        <f>IF(ISBLANK(G256),"Çalışıyor","Ayrıldı")</f>
        <v>Çalışıyor</v>
      </c>
      <c r="F256" t="str">
        <f t="shared" ca="1" si="3"/>
        <v>27 Yıl - 9 Ay - 5 Gün</v>
      </c>
      <c r="G256" s="1"/>
      <c r="H256" s="1"/>
    </row>
    <row r="257" spans="1:8" x14ac:dyDescent="0.45">
      <c r="A257">
        <v>3909</v>
      </c>
      <c r="B257" t="s">
        <v>95</v>
      </c>
      <c r="C257" t="s">
        <v>476</v>
      </c>
      <c r="D257" s="1">
        <v>33187</v>
      </c>
      <c r="E257" t="str">
        <f>IF(ISBLANK(G257),"Çalışıyor","Ayrıldı")</f>
        <v>Çalışıyor</v>
      </c>
      <c r="F257" t="str">
        <f t="shared" ca="1" si="3"/>
        <v>28 Yıl - 9 Ay - 21 Gün</v>
      </c>
      <c r="G257" s="1"/>
      <c r="H257" s="1"/>
    </row>
    <row r="258" spans="1:8" x14ac:dyDescent="0.45">
      <c r="A258">
        <v>2852</v>
      </c>
      <c r="B258" t="s">
        <v>178</v>
      </c>
      <c r="C258" t="s">
        <v>478</v>
      </c>
      <c r="D258" s="1">
        <v>39744</v>
      </c>
      <c r="E258" t="str">
        <f>IF(ISBLANK(G258),"Çalışıyor","Ayrıldı")</f>
        <v>Çalışıyor</v>
      </c>
      <c r="F258" t="str">
        <f t="shared" ca="1" si="3"/>
        <v>10 Yıl - 10 Ay - 8 Gün</v>
      </c>
      <c r="G258" s="1"/>
      <c r="H258" s="1"/>
    </row>
    <row r="259" spans="1:8" x14ac:dyDescent="0.45">
      <c r="A259">
        <v>3120</v>
      </c>
      <c r="B259" t="s">
        <v>309</v>
      </c>
      <c r="C259" t="s">
        <v>470</v>
      </c>
      <c r="D259" s="1">
        <v>41716</v>
      </c>
      <c r="E259" t="str">
        <f>IF(ISBLANK(G259),"Çalışıyor","Ayrıldı")</f>
        <v>Çalışıyor</v>
      </c>
      <c r="F259" t="str">
        <f t="shared" ref="F259:F322" ca="1" si="4">IF(ISBLANK(G259),INT(DAYS360(D259,TODAY(),0)/360)&amp;" Yıl - "&amp;INT(MOD(DAYS360(D259,TODAY(),0),360)/30)&amp;" Ay - "&amp;MOD(MOD(DAYS360(D259,TODAY(),0),360),30)&amp;" Gün",INT(DAYS360(D259,G259,0)/360)&amp;" Yıl - "&amp;INT(MOD(DAYS360(D259,G259,0),360)/30)&amp;" Ay - "&amp;MOD(MOD(DAYS360(D259,G259,0),360),30)&amp;" Gün")</f>
        <v>5 Yıl - 5 Ay - 13 Gün</v>
      </c>
      <c r="G259" s="1"/>
      <c r="H259" s="1"/>
    </row>
    <row r="260" spans="1:8" x14ac:dyDescent="0.45">
      <c r="A260">
        <v>3799</v>
      </c>
      <c r="B260" t="s">
        <v>270</v>
      </c>
      <c r="C260" t="s">
        <v>463</v>
      </c>
      <c r="D260" s="1">
        <v>35492</v>
      </c>
      <c r="E260" t="str">
        <f>IF(ISBLANK(G260),"Çalışıyor","Ayrıldı")</f>
        <v>Ayrıldı</v>
      </c>
      <c r="F260" t="str">
        <f t="shared" ca="1" si="4"/>
        <v>21 Yıl - 3 Ay - 8 Gün</v>
      </c>
      <c r="G260" s="1">
        <v>43262</v>
      </c>
      <c r="H260" s="1"/>
    </row>
    <row r="261" spans="1:8" x14ac:dyDescent="0.45">
      <c r="A261">
        <v>4405</v>
      </c>
      <c r="B261" t="s">
        <v>103</v>
      </c>
      <c r="C261" t="s">
        <v>418</v>
      </c>
      <c r="D261" s="1">
        <v>34193</v>
      </c>
      <c r="E261" t="str">
        <f>IF(ISBLANK(G261),"Çalışıyor","Ayrıldı")</f>
        <v>Çalışıyor</v>
      </c>
      <c r="F261" t="str">
        <f t="shared" ca="1" si="4"/>
        <v>26 Yıl - 0 Ay - 19 Gün</v>
      </c>
      <c r="G261" s="1"/>
      <c r="H261" s="1"/>
    </row>
    <row r="262" spans="1:8" x14ac:dyDescent="0.45">
      <c r="A262">
        <v>3417</v>
      </c>
      <c r="B262" t="s">
        <v>102</v>
      </c>
      <c r="C262" t="s">
        <v>475</v>
      </c>
      <c r="D262" s="1">
        <v>37994</v>
      </c>
      <c r="E262" t="str">
        <f>IF(ISBLANK(G262),"Çalışıyor","Ayrıldı")</f>
        <v>Çalışıyor</v>
      </c>
      <c r="F262" t="str">
        <f t="shared" ca="1" si="4"/>
        <v>15 Yıl - 7 Ay - 23 Gün</v>
      </c>
      <c r="G262" s="1"/>
      <c r="H262" s="1"/>
    </row>
    <row r="263" spans="1:8" x14ac:dyDescent="0.45">
      <c r="A263">
        <v>2351</v>
      </c>
      <c r="B263" t="s">
        <v>142</v>
      </c>
      <c r="C263" t="s">
        <v>462</v>
      </c>
      <c r="D263" s="1">
        <v>35142</v>
      </c>
      <c r="E263" t="str">
        <f>IF(ISBLANK(G263),"Çalışıyor","Ayrıldı")</f>
        <v>Çalışıyor</v>
      </c>
      <c r="F263" t="str">
        <f t="shared" ca="1" si="4"/>
        <v>23 Yıl - 5 Ay - 13 Gün</v>
      </c>
      <c r="G263" s="1"/>
      <c r="H263" s="1"/>
    </row>
    <row r="264" spans="1:8" x14ac:dyDescent="0.45">
      <c r="A264">
        <v>2394</v>
      </c>
      <c r="B264" t="s">
        <v>114</v>
      </c>
      <c r="C264" t="s">
        <v>476</v>
      </c>
      <c r="D264" s="1">
        <v>40178</v>
      </c>
      <c r="E264" t="str">
        <f>IF(ISBLANK(G264),"Çalışıyor","Ayrıldı")</f>
        <v>Çalışıyor</v>
      </c>
      <c r="F264" t="str">
        <f t="shared" ca="1" si="4"/>
        <v>9 Yıl - 8 Ay - 0 Gün</v>
      </c>
      <c r="G264" s="1"/>
      <c r="H264" s="1"/>
    </row>
    <row r="265" spans="1:8" x14ac:dyDescent="0.45">
      <c r="A265">
        <v>2039</v>
      </c>
      <c r="B265" t="s">
        <v>407</v>
      </c>
      <c r="C265" t="s">
        <v>470</v>
      </c>
      <c r="D265" s="1">
        <v>38154</v>
      </c>
      <c r="E265" t="str">
        <f>IF(ISBLANK(G265),"Çalışıyor","Ayrıldı")</f>
        <v>Çalışıyor</v>
      </c>
      <c r="F265" t="str">
        <f t="shared" ca="1" si="4"/>
        <v>15 Yıl - 2 Ay - 15 Gün</v>
      </c>
      <c r="G265" s="1"/>
      <c r="H265" s="1"/>
    </row>
    <row r="266" spans="1:8" x14ac:dyDescent="0.45">
      <c r="A266">
        <v>2222</v>
      </c>
      <c r="B266" t="s">
        <v>126</v>
      </c>
      <c r="C266" t="s">
        <v>478</v>
      </c>
      <c r="D266" s="1">
        <v>34686</v>
      </c>
      <c r="E266" t="str">
        <f>IF(ISBLANK(G266),"Çalışıyor","Ayrıldı")</f>
        <v>Çalışıyor</v>
      </c>
      <c r="F266" t="str">
        <f t="shared" ca="1" si="4"/>
        <v>24 Yıl - 8 Ay - 13 Gün</v>
      </c>
      <c r="G266" s="1"/>
      <c r="H266" s="1"/>
    </row>
    <row r="267" spans="1:8" x14ac:dyDescent="0.45">
      <c r="A267">
        <v>2555</v>
      </c>
      <c r="B267" t="s">
        <v>85</v>
      </c>
      <c r="C267" t="s">
        <v>482</v>
      </c>
      <c r="D267" s="1">
        <v>42434</v>
      </c>
      <c r="E267" t="str">
        <f>IF(ISBLANK(G267),"Çalışıyor","Ayrıldı")</f>
        <v>Ayrıldı</v>
      </c>
      <c r="F267" t="str">
        <f t="shared" ca="1" si="4"/>
        <v>2 Yıl - 3 Ay - 6 Gün</v>
      </c>
      <c r="G267" s="1">
        <v>43262</v>
      </c>
      <c r="H267" s="1"/>
    </row>
    <row r="268" spans="1:8" x14ac:dyDescent="0.45">
      <c r="A268">
        <v>3876</v>
      </c>
      <c r="B268" t="s">
        <v>55</v>
      </c>
      <c r="C268" t="s">
        <v>465</v>
      </c>
      <c r="D268" s="1">
        <v>40444</v>
      </c>
      <c r="E268" t="str">
        <f>IF(ISBLANK(G268),"Çalışıyor","Ayrıldı")</f>
        <v>Çalışıyor</v>
      </c>
      <c r="F268" t="str">
        <f t="shared" ca="1" si="4"/>
        <v>8 Yıl - 11 Ay - 8 Gün</v>
      </c>
      <c r="G268" s="1"/>
      <c r="H268" s="1"/>
    </row>
    <row r="269" spans="1:8" x14ac:dyDescent="0.45">
      <c r="A269">
        <v>3774</v>
      </c>
      <c r="B269" t="s">
        <v>373</v>
      </c>
      <c r="C269" t="s">
        <v>479</v>
      </c>
      <c r="D269" s="1">
        <v>33834</v>
      </c>
      <c r="E269" t="str">
        <f>IF(ISBLANK(G269),"Çalışıyor","Ayrıldı")</f>
        <v>Çalışıyor</v>
      </c>
      <c r="F269" t="str">
        <f t="shared" ca="1" si="4"/>
        <v>27 Yıl - 0 Ay - 13 Gün</v>
      </c>
      <c r="G269" s="1"/>
      <c r="H269" s="1"/>
    </row>
    <row r="270" spans="1:8" x14ac:dyDescent="0.45">
      <c r="A270">
        <v>3183</v>
      </c>
      <c r="B270" t="s">
        <v>231</v>
      </c>
      <c r="C270" t="s">
        <v>479</v>
      </c>
      <c r="D270" s="1">
        <v>35573</v>
      </c>
      <c r="E270" t="str">
        <f>IF(ISBLANK(G270),"Çalışıyor","Ayrıldı")</f>
        <v>Çalışıyor</v>
      </c>
      <c r="F270" t="str">
        <f t="shared" ca="1" si="4"/>
        <v>22 Yıl - 3 Ay - 8 Gün</v>
      </c>
      <c r="G270" s="1"/>
      <c r="H270" s="1"/>
    </row>
    <row r="271" spans="1:8" x14ac:dyDescent="0.45">
      <c r="A271">
        <v>3785</v>
      </c>
      <c r="B271" t="s">
        <v>122</v>
      </c>
      <c r="C271" t="s">
        <v>463</v>
      </c>
      <c r="D271" s="1">
        <v>33461</v>
      </c>
      <c r="E271" t="str">
        <f>IF(ISBLANK(G271),"Çalışıyor","Ayrıldı")</f>
        <v>Çalışıyor</v>
      </c>
      <c r="F271" t="str">
        <f t="shared" ca="1" si="4"/>
        <v>28 Yıl - 0 Ay - 20 Gün</v>
      </c>
      <c r="G271" s="1"/>
      <c r="H271" s="1"/>
    </row>
    <row r="272" spans="1:8" x14ac:dyDescent="0.45">
      <c r="A272">
        <v>3512</v>
      </c>
      <c r="B272" t="s">
        <v>297</v>
      </c>
      <c r="C272" t="s">
        <v>478</v>
      </c>
      <c r="D272" s="1">
        <v>39738</v>
      </c>
      <c r="E272" t="str">
        <f>IF(ISBLANK(G272),"Çalışıyor","Ayrıldı")</f>
        <v>Ayrıldı</v>
      </c>
      <c r="F272" t="str">
        <f t="shared" ca="1" si="4"/>
        <v>9 Yıl - 7 Ay - 24 Gün</v>
      </c>
      <c r="G272" s="1">
        <v>43262</v>
      </c>
      <c r="H272" s="1"/>
    </row>
    <row r="273" spans="1:8" x14ac:dyDescent="0.45">
      <c r="A273">
        <v>3417</v>
      </c>
      <c r="B273" t="s">
        <v>328</v>
      </c>
      <c r="C273" t="s">
        <v>473</v>
      </c>
      <c r="D273" s="1">
        <v>38121</v>
      </c>
      <c r="E273" t="str">
        <f>IF(ISBLANK(G273),"Çalışıyor","Ayrıldı")</f>
        <v>Çalışıyor</v>
      </c>
      <c r="F273" t="str">
        <f t="shared" ca="1" si="4"/>
        <v>15 Yıl - 3 Ay - 17 Gün</v>
      </c>
      <c r="G273" s="1"/>
      <c r="H273" s="1"/>
    </row>
    <row r="274" spans="1:8" x14ac:dyDescent="0.45">
      <c r="A274">
        <v>3430</v>
      </c>
      <c r="B274" t="s">
        <v>120</v>
      </c>
      <c r="C274" t="s">
        <v>464</v>
      </c>
      <c r="D274" s="1">
        <v>34399</v>
      </c>
      <c r="E274" t="str">
        <f>IF(ISBLANK(G274),"Çalışıyor","Ayrıldı")</f>
        <v>Çalışıyor</v>
      </c>
      <c r="F274" t="str">
        <f t="shared" ca="1" si="4"/>
        <v>25 Yıl - 5 Ay - 25 Gün</v>
      </c>
      <c r="G274" s="1"/>
      <c r="H274" s="1"/>
    </row>
    <row r="275" spans="1:8" x14ac:dyDescent="0.45">
      <c r="A275">
        <v>2180</v>
      </c>
      <c r="B275" t="s">
        <v>147</v>
      </c>
      <c r="C275" t="s">
        <v>475</v>
      </c>
      <c r="D275" s="1">
        <v>43153</v>
      </c>
      <c r="E275" t="str">
        <f>IF(ISBLANK(G275),"Çalışıyor","Ayrıldı")</f>
        <v>Ayrıldı</v>
      </c>
      <c r="F275" t="str">
        <f t="shared" ca="1" si="4"/>
        <v>0 Yıl - 3 Ay - 19 Gün</v>
      </c>
      <c r="G275" s="1">
        <v>43262</v>
      </c>
      <c r="H275" s="1"/>
    </row>
    <row r="276" spans="1:8" x14ac:dyDescent="0.45">
      <c r="A276">
        <v>2213</v>
      </c>
      <c r="B276" t="s">
        <v>5</v>
      </c>
      <c r="C276" t="s">
        <v>422</v>
      </c>
      <c r="D276" s="1">
        <v>39855</v>
      </c>
      <c r="E276" t="str">
        <f>IF(ISBLANK(G276),"Çalışıyor","Ayrıldı")</f>
        <v>Ayrıldı</v>
      </c>
      <c r="F276" t="str">
        <f t="shared" ca="1" si="4"/>
        <v>9 Yıl - 4 Ay - 0 Gün</v>
      </c>
      <c r="G276" s="1">
        <v>43262</v>
      </c>
      <c r="H276" s="1"/>
    </row>
    <row r="277" spans="1:8" x14ac:dyDescent="0.45">
      <c r="A277">
        <v>2908</v>
      </c>
      <c r="B277" t="s">
        <v>151</v>
      </c>
      <c r="C277" t="s">
        <v>420</v>
      </c>
      <c r="D277" s="1">
        <v>37128</v>
      </c>
      <c r="E277" t="str">
        <f>IF(ISBLANK(G277),"Çalışıyor","Ayrıldı")</f>
        <v>Çalışıyor</v>
      </c>
      <c r="F277" t="str">
        <f t="shared" ca="1" si="4"/>
        <v>18 Yıl - 0 Ay - 6 Gün</v>
      </c>
      <c r="G277" s="1"/>
      <c r="H277" s="1"/>
    </row>
    <row r="278" spans="1:8" x14ac:dyDescent="0.45">
      <c r="A278">
        <v>4279</v>
      </c>
      <c r="B278" t="s">
        <v>148</v>
      </c>
      <c r="C278" t="s">
        <v>471</v>
      </c>
      <c r="D278" s="1">
        <v>34272</v>
      </c>
      <c r="E278" t="str">
        <f>IF(ISBLANK(G278),"Çalışıyor","Ayrıldı")</f>
        <v>Çalışıyor</v>
      </c>
      <c r="F278" t="str">
        <f t="shared" ca="1" si="4"/>
        <v>25 Yıl - 10 Ay - 0 Gün</v>
      </c>
      <c r="G278" s="1"/>
      <c r="H278" s="1"/>
    </row>
    <row r="279" spans="1:8" x14ac:dyDescent="0.45">
      <c r="A279">
        <v>2826</v>
      </c>
      <c r="B279" t="s">
        <v>283</v>
      </c>
      <c r="C279" t="s">
        <v>422</v>
      </c>
      <c r="D279" s="1">
        <v>41307</v>
      </c>
      <c r="E279" t="str">
        <f>IF(ISBLANK(G279),"Çalışıyor","Ayrıldı")</f>
        <v>Çalışıyor</v>
      </c>
      <c r="F279" t="str">
        <f t="shared" ca="1" si="4"/>
        <v>6 Yıl - 6 Ay - 29 Gün</v>
      </c>
      <c r="G279" s="1"/>
      <c r="H279" s="1"/>
    </row>
    <row r="280" spans="1:8" x14ac:dyDescent="0.45">
      <c r="A280">
        <v>3594</v>
      </c>
      <c r="B280" t="s">
        <v>62</v>
      </c>
      <c r="C280" t="s">
        <v>470</v>
      </c>
      <c r="D280" s="1">
        <v>41018</v>
      </c>
      <c r="E280" t="str">
        <f>IF(ISBLANK(G280),"Çalışıyor","Ayrıldı")</f>
        <v>Çalışıyor</v>
      </c>
      <c r="F280" t="str">
        <f t="shared" ca="1" si="4"/>
        <v>7 Yıl - 4 Ay - 12 Gün</v>
      </c>
      <c r="G280" s="1"/>
      <c r="H280" s="1"/>
    </row>
    <row r="281" spans="1:8" x14ac:dyDescent="0.45">
      <c r="A281">
        <v>4494</v>
      </c>
      <c r="B281" t="s">
        <v>406</v>
      </c>
      <c r="C281" t="s">
        <v>473</v>
      </c>
      <c r="D281" s="1">
        <v>40899</v>
      </c>
      <c r="E281" t="str">
        <f>IF(ISBLANK(G281),"Çalışıyor","Ayrıldı")</f>
        <v>Çalışıyor</v>
      </c>
      <c r="F281" t="str">
        <f t="shared" ca="1" si="4"/>
        <v>7 Yıl - 8 Ay - 9 Gün</v>
      </c>
      <c r="G281" s="1"/>
      <c r="H281" s="1"/>
    </row>
    <row r="282" spans="1:8" x14ac:dyDescent="0.45">
      <c r="A282">
        <v>3400</v>
      </c>
      <c r="B282" t="s">
        <v>47</v>
      </c>
      <c r="C282" t="s">
        <v>422</v>
      </c>
      <c r="D282" s="1">
        <v>42574</v>
      </c>
      <c r="E282" t="str">
        <f>IF(ISBLANK(G282),"Çalışıyor","Ayrıldı")</f>
        <v>Ayrıldı</v>
      </c>
      <c r="F282" t="str">
        <f t="shared" ca="1" si="4"/>
        <v>1 Yıl - 10 Ay - 18 Gün</v>
      </c>
      <c r="G282" s="1">
        <v>43262</v>
      </c>
      <c r="H282" s="1"/>
    </row>
    <row r="283" spans="1:8" x14ac:dyDescent="0.45">
      <c r="A283">
        <v>3901</v>
      </c>
      <c r="B283" t="s">
        <v>12</v>
      </c>
      <c r="C283" t="s">
        <v>462</v>
      </c>
      <c r="D283" s="1">
        <v>41421</v>
      </c>
      <c r="E283" t="str">
        <f>IF(ISBLANK(G283),"Çalışıyor","Ayrıldı")</f>
        <v>Ayrıldı</v>
      </c>
      <c r="F283" t="str">
        <f t="shared" ca="1" si="4"/>
        <v>5 Yıl - 0 Ay - 14 Gün</v>
      </c>
      <c r="G283" s="1">
        <v>43262</v>
      </c>
      <c r="H283" s="1"/>
    </row>
    <row r="284" spans="1:8" x14ac:dyDescent="0.45">
      <c r="A284">
        <v>3744</v>
      </c>
      <c r="B284" t="s">
        <v>130</v>
      </c>
      <c r="C284" t="s">
        <v>477</v>
      </c>
      <c r="D284" s="1">
        <v>32871</v>
      </c>
      <c r="E284" t="str">
        <f>IF(ISBLANK(G284),"Çalışıyor","Ayrıldı")</f>
        <v>Ayrıldı</v>
      </c>
      <c r="F284" t="str">
        <f t="shared" ca="1" si="4"/>
        <v>28 Yıl - 5 Ay - 12 Gün</v>
      </c>
      <c r="G284" s="1">
        <v>43262</v>
      </c>
      <c r="H284" s="1"/>
    </row>
    <row r="285" spans="1:8" x14ac:dyDescent="0.45">
      <c r="A285">
        <v>4196</v>
      </c>
      <c r="B285" t="s">
        <v>27</v>
      </c>
      <c r="C285" t="s">
        <v>477</v>
      </c>
      <c r="D285" s="1">
        <v>37333</v>
      </c>
      <c r="E285" t="str">
        <f>IF(ISBLANK(G285),"Çalışıyor","Ayrıldı")</f>
        <v>Çalışıyor</v>
      </c>
      <c r="F285" t="str">
        <f t="shared" ca="1" si="4"/>
        <v>17 Yıl - 5 Ay - 13 Gün</v>
      </c>
      <c r="G285" s="1"/>
      <c r="H285" s="1"/>
    </row>
    <row r="286" spans="1:8" x14ac:dyDescent="0.45">
      <c r="A286">
        <v>4064</v>
      </c>
      <c r="B286" t="s">
        <v>266</v>
      </c>
      <c r="C286" t="s">
        <v>463</v>
      </c>
      <c r="D286" s="1">
        <v>42757</v>
      </c>
      <c r="E286" t="str">
        <f>IF(ISBLANK(G286),"Çalışıyor","Ayrıldı")</f>
        <v>Çalışıyor</v>
      </c>
      <c r="F286" t="str">
        <f t="shared" ca="1" si="4"/>
        <v>2 Yıl - 7 Ay - 9 Gün</v>
      </c>
      <c r="G286" s="1"/>
      <c r="H286" s="1"/>
    </row>
    <row r="287" spans="1:8" x14ac:dyDescent="0.45">
      <c r="A287">
        <v>4320</v>
      </c>
      <c r="B287" t="s">
        <v>244</v>
      </c>
      <c r="C287" t="s">
        <v>463</v>
      </c>
      <c r="D287" s="1">
        <v>32949</v>
      </c>
      <c r="E287" t="str">
        <f>IF(ISBLANK(G287),"Çalışıyor","Ayrıldı")</f>
        <v>Ayrıldı</v>
      </c>
      <c r="F287" t="str">
        <f t="shared" ca="1" si="4"/>
        <v>28 Yıl - 2 Ay - 24 Gün</v>
      </c>
      <c r="G287" s="1">
        <v>43262</v>
      </c>
      <c r="H287" s="1"/>
    </row>
    <row r="288" spans="1:8" x14ac:dyDescent="0.45">
      <c r="A288">
        <v>3674</v>
      </c>
      <c r="B288" t="s">
        <v>7</v>
      </c>
      <c r="C288" t="s">
        <v>471</v>
      </c>
      <c r="D288" s="1">
        <v>39446</v>
      </c>
      <c r="E288" t="str">
        <f>IF(ISBLANK(G288),"Çalışıyor","Ayrıldı")</f>
        <v>Çalışıyor</v>
      </c>
      <c r="F288" t="str">
        <f t="shared" ca="1" si="4"/>
        <v>11 Yıl - 8 Ay - 0 Gün</v>
      </c>
      <c r="G288" s="1"/>
      <c r="H288" s="1"/>
    </row>
    <row r="289" spans="1:8" x14ac:dyDescent="0.45">
      <c r="A289">
        <v>4302</v>
      </c>
      <c r="B289" t="s">
        <v>26</v>
      </c>
      <c r="C289" t="s">
        <v>460</v>
      </c>
      <c r="D289" s="1">
        <v>37618</v>
      </c>
      <c r="E289" t="str">
        <f>IF(ISBLANK(G289),"Çalışıyor","Ayrıldı")</f>
        <v>Çalışıyor</v>
      </c>
      <c r="F289" t="str">
        <f t="shared" ca="1" si="4"/>
        <v>16 Yıl - 8 Ay - 3 Gün</v>
      </c>
      <c r="G289" s="1"/>
      <c r="H289" s="1"/>
    </row>
    <row r="290" spans="1:8" x14ac:dyDescent="0.45">
      <c r="A290">
        <v>2144</v>
      </c>
      <c r="B290" t="s">
        <v>112</v>
      </c>
      <c r="C290" t="s">
        <v>476</v>
      </c>
      <c r="D290" s="1">
        <v>36466</v>
      </c>
      <c r="E290" t="str">
        <f>IF(ISBLANK(G290),"Çalışıyor","Ayrıldı")</f>
        <v>Çalışıyor</v>
      </c>
      <c r="F290" t="str">
        <f t="shared" ca="1" si="4"/>
        <v>19 Yıl - 9 Ay - 29 Gün</v>
      </c>
      <c r="G290" s="1"/>
      <c r="H290" s="1"/>
    </row>
    <row r="291" spans="1:8" x14ac:dyDescent="0.45">
      <c r="A291">
        <v>2842</v>
      </c>
      <c r="B291" t="s">
        <v>384</v>
      </c>
      <c r="C291" t="s">
        <v>479</v>
      </c>
      <c r="D291" s="1">
        <v>43253</v>
      </c>
      <c r="E291" t="str">
        <f>IF(ISBLANK(G291),"Çalışıyor","Ayrıldı")</f>
        <v>Çalışıyor</v>
      </c>
      <c r="F291" t="str">
        <f t="shared" ca="1" si="4"/>
        <v>1 Yıl - 2 Ay - 29 Gün</v>
      </c>
      <c r="G291" s="1"/>
      <c r="H291" s="1"/>
    </row>
    <row r="292" spans="1:8" x14ac:dyDescent="0.45">
      <c r="A292">
        <v>3079</v>
      </c>
      <c r="B292" t="s">
        <v>265</v>
      </c>
      <c r="C292" t="s">
        <v>421</v>
      </c>
      <c r="D292" s="1">
        <v>36227</v>
      </c>
      <c r="E292" t="str">
        <f>IF(ISBLANK(G292),"Çalışıyor","Ayrıldı")</f>
        <v>Çalışıyor</v>
      </c>
      <c r="F292" t="str">
        <f t="shared" ca="1" si="4"/>
        <v>20 Yıl - 5 Ay - 23 Gün</v>
      </c>
      <c r="G292" s="1"/>
      <c r="H292" s="1"/>
    </row>
    <row r="293" spans="1:8" x14ac:dyDescent="0.45">
      <c r="A293">
        <v>4051</v>
      </c>
      <c r="B293" t="s">
        <v>294</v>
      </c>
      <c r="C293" t="s">
        <v>477</v>
      </c>
      <c r="D293" s="1">
        <v>39458</v>
      </c>
      <c r="E293" t="str">
        <f>IF(ISBLANK(G293),"Çalışıyor","Ayrıldı")</f>
        <v>Çalışıyor</v>
      </c>
      <c r="F293" t="str">
        <f t="shared" ca="1" si="4"/>
        <v>11 Yıl - 7 Ay - 20 Gün</v>
      </c>
      <c r="G293" s="1"/>
      <c r="H293" s="1"/>
    </row>
    <row r="294" spans="1:8" x14ac:dyDescent="0.45">
      <c r="A294">
        <v>3098</v>
      </c>
      <c r="B294" t="s">
        <v>368</v>
      </c>
      <c r="C294" t="s">
        <v>469</v>
      </c>
      <c r="D294" s="1">
        <v>33455</v>
      </c>
      <c r="E294" t="str">
        <f>IF(ISBLANK(G294),"Çalışıyor","Ayrıldı")</f>
        <v>Çalışıyor</v>
      </c>
      <c r="F294" t="str">
        <f t="shared" ca="1" si="4"/>
        <v>28 Yıl - 0 Ay - 26 Gün</v>
      </c>
      <c r="G294" s="1"/>
      <c r="H294" s="1"/>
    </row>
    <row r="295" spans="1:8" x14ac:dyDescent="0.45">
      <c r="A295">
        <v>3247</v>
      </c>
      <c r="B295" t="s">
        <v>101</v>
      </c>
      <c r="C295" t="s">
        <v>460</v>
      </c>
      <c r="D295" s="1">
        <v>35212</v>
      </c>
      <c r="E295" t="str">
        <f>IF(ISBLANK(G295),"Çalışıyor","Ayrıldı")</f>
        <v>Çalışıyor</v>
      </c>
      <c r="F295" t="str">
        <f t="shared" ca="1" si="4"/>
        <v>23 Yıl - 3 Ay - 4 Gün</v>
      </c>
      <c r="G295" s="1"/>
      <c r="H295" s="1"/>
    </row>
    <row r="296" spans="1:8" x14ac:dyDescent="0.45">
      <c r="A296">
        <v>4158</v>
      </c>
      <c r="B296" t="s">
        <v>73</v>
      </c>
      <c r="C296" t="s">
        <v>421</v>
      </c>
      <c r="D296" s="1">
        <v>38565</v>
      </c>
      <c r="E296" t="str">
        <f>IF(ISBLANK(G296),"Çalışıyor","Ayrıldı")</f>
        <v>Çalışıyor</v>
      </c>
      <c r="F296" t="str">
        <f t="shared" ca="1" si="4"/>
        <v>14 Yıl - 1 Ay - 0 Gün</v>
      </c>
      <c r="G296" s="1"/>
      <c r="H296" s="1"/>
    </row>
    <row r="297" spans="1:8" x14ac:dyDescent="0.45">
      <c r="A297">
        <v>2027</v>
      </c>
      <c r="B297" t="s">
        <v>215</v>
      </c>
      <c r="C297" t="s">
        <v>474</v>
      </c>
      <c r="D297" s="1">
        <v>40704</v>
      </c>
      <c r="E297" t="str">
        <f>IF(ISBLANK(G297),"Çalışıyor","Ayrıldı")</f>
        <v>Çalışıyor</v>
      </c>
      <c r="F297" t="str">
        <f t="shared" ca="1" si="4"/>
        <v>8 Yıl - 2 Ay - 21 Gün</v>
      </c>
      <c r="G297" s="1"/>
      <c r="H297" s="1"/>
    </row>
    <row r="298" spans="1:8" x14ac:dyDescent="0.45">
      <c r="A298">
        <v>3237</v>
      </c>
      <c r="B298" t="s">
        <v>158</v>
      </c>
      <c r="C298" t="s">
        <v>480</v>
      </c>
      <c r="D298" s="1">
        <v>38691</v>
      </c>
      <c r="E298" t="str">
        <f>IF(ISBLANK(G298),"Çalışıyor","Ayrıldı")</f>
        <v>Çalışıyor</v>
      </c>
      <c r="F298" t="str">
        <f t="shared" ca="1" si="4"/>
        <v>13 Yıl - 8 Ay - 26 Gün</v>
      </c>
      <c r="G298" s="1"/>
      <c r="H298" s="1"/>
    </row>
    <row r="299" spans="1:8" x14ac:dyDescent="0.45">
      <c r="A299">
        <v>3100</v>
      </c>
      <c r="B299" t="s">
        <v>267</v>
      </c>
      <c r="C299" t="s">
        <v>470</v>
      </c>
      <c r="D299" s="1">
        <v>41150</v>
      </c>
      <c r="E299" t="str">
        <f>IF(ISBLANK(G299),"Çalışıyor","Ayrıldı")</f>
        <v>Çalışıyor</v>
      </c>
      <c r="F299" t="str">
        <f t="shared" ca="1" si="4"/>
        <v>7 Yıl - 0 Ay - 2 Gün</v>
      </c>
      <c r="G299" s="1"/>
      <c r="H299" s="1"/>
    </row>
    <row r="300" spans="1:8" x14ac:dyDescent="0.45">
      <c r="A300">
        <v>2165</v>
      </c>
      <c r="B300" t="s">
        <v>219</v>
      </c>
      <c r="C300" t="s">
        <v>460</v>
      </c>
      <c r="D300" s="1">
        <v>40761</v>
      </c>
      <c r="E300" t="str">
        <f>IF(ISBLANK(G300),"Çalışıyor","Ayrıldı")</f>
        <v>Çalışıyor</v>
      </c>
      <c r="F300" t="str">
        <f t="shared" ca="1" si="4"/>
        <v>8 Yıl - 0 Ay - 25 Gün</v>
      </c>
      <c r="G300" s="1"/>
      <c r="H300" s="1"/>
    </row>
    <row r="301" spans="1:8" x14ac:dyDescent="0.45">
      <c r="A301">
        <v>4405</v>
      </c>
      <c r="B301" t="s">
        <v>99</v>
      </c>
      <c r="C301" t="s">
        <v>475</v>
      </c>
      <c r="D301" s="1">
        <v>38692</v>
      </c>
      <c r="E301" t="str">
        <f>IF(ISBLANK(G301),"Çalışıyor","Ayrıldı")</f>
        <v>Çalışıyor</v>
      </c>
      <c r="F301" t="str">
        <f t="shared" ca="1" si="4"/>
        <v>13 Yıl - 8 Ay - 25 Gün</v>
      </c>
      <c r="G301" s="1"/>
      <c r="H301" s="1"/>
    </row>
    <row r="302" spans="1:8" x14ac:dyDescent="0.45">
      <c r="A302">
        <v>2836</v>
      </c>
      <c r="B302" t="s">
        <v>391</v>
      </c>
      <c r="C302" t="s">
        <v>481</v>
      </c>
      <c r="D302" s="1">
        <v>38168</v>
      </c>
      <c r="E302" t="str">
        <f>IF(ISBLANK(G302),"Çalışıyor","Ayrıldı")</f>
        <v>Ayrıldı</v>
      </c>
      <c r="F302" t="str">
        <f t="shared" ca="1" si="4"/>
        <v>13 Yıl - 11 Ay - 11 Gün</v>
      </c>
      <c r="G302" s="1">
        <v>43262</v>
      </c>
      <c r="H302" s="1"/>
    </row>
    <row r="303" spans="1:8" x14ac:dyDescent="0.45">
      <c r="A303">
        <v>2136</v>
      </c>
      <c r="B303" t="s">
        <v>79</v>
      </c>
      <c r="C303" t="s">
        <v>418</v>
      </c>
      <c r="D303" s="1">
        <v>42198</v>
      </c>
      <c r="E303" t="str">
        <f>IF(ISBLANK(G303),"Çalışıyor","Ayrıldı")</f>
        <v>Çalışıyor</v>
      </c>
      <c r="F303" t="str">
        <f t="shared" ca="1" si="4"/>
        <v>4 Yıl - 1 Ay - 18 Gün</v>
      </c>
      <c r="G303" s="1"/>
      <c r="H303" s="1"/>
    </row>
    <row r="304" spans="1:8" x14ac:dyDescent="0.45">
      <c r="A304">
        <v>3639</v>
      </c>
      <c r="B304" t="s">
        <v>168</v>
      </c>
      <c r="C304" t="s">
        <v>480</v>
      </c>
      <c r="D304" s="1">
        <v>35532</v>
      </c>
      <c r="E304" t="str">
        <f>IF(ISBLANK(G304),"Çalışıyor","Ayrıldı")</f>
        <v>Çalışıyor</v>
      </c>
      <c r="F304" t="str">
        <f t="shared" ca="1" si="4"/>
        <v>22 Yıl - 4 Ay - 19 Gün</v>
      </c>
      <c r="G304" s="1"/>
      <c r="H304" s="1"/>
    </row>
    <row r="305" spans="1:8" x14ac:dyDescent="0.45">
      <c r="A305">
        <v>2418</v>
      </c>
      <c r="B305" t="s">
        <v>280</v>
      </c>
      <c r="C305" t="s">
        <v>462</v>
      </c>
      <c r="D305" s="1">
        <v>40179</v>
      </c>
      <c r="E305" t="str">
        <f>IF(ISBLANK(G305),"Çalışıyor","Ayrıldı")</f>
        <v>Ayrıldı</v>
      </c>
      <c r="F305" t="str">
        <f t="shared" ca="1" si="4"/>
        <v>8 Yıl - 5 Ay - 10 Gün</v>
      </c>
      <c r="G305" s="1">
        <v>43262</v>
      </c>
      <c r="H305" s="1"/>
    </row>
    <row r="306" spans="1:8" x14ac:dyDescent="0.45">
      <c r="A306">
        <v>3808</v>
      </c>
      <c r="B306" t="s">
        <v>350</v>
      </c>
      <c r="C306" t="s">
        <v>466</v>
      </c>
      <c r="D306" s="1">
        <v>35858</v>
      </c>
      <c r="E306" t="str">
        <f>IF(ISBLANK(G306),"Çalışıyor","Ayrıldı")</f>
        <v>Çalışıyor</v>
      </c>
      <c r="F306" t="str">
        <f t="shared" ca="1" si="4"/>
        <v>21 Yıl - 5 Ay - 27 Gün</v>
      </c>
      <c r="G306" s="1"/>
      <c r="H306" s="1"/>
    </row>
    <row r="307" spans="1:8" x14ac:dyDescent="0.45">
      <c r="A307">
        <v>4088</v>
      </c>
      <c r="B307" t="s">
        <v>105</v>
      </c>
      <c r="C307" t="s">
        <v>470</v>
      </c>
      <c r="D307" s="1">
        <v>33153</v>
      </c>
      <c r="E307" t="str">
        <f>IF(ISBLANK(G307),"Çalışıyor","Ayrıldı")</f>
        <v>Çalışıyor</v>
      </c>
      <c r="F307" t="str">
        <f t="shared" ca="1" si="4"/>
        <v>28 Yıl - 10 Ay - 24 Gün</v>
      </c>
      <c r="G307" s="1"/>
      <c r="H307" s="1"/>
    </row>
    <row r="308" spans="1:8" x14ac:dyDescent="0.45">
      <c r="A308">
        <v>2787</v>
      </c>
      <c r="B308" t="s">
        <v>365</v>
      </c>
      <c r="C308" t="s">
        <v>465</v>
      </c>
      <c r="D308" s="1">
        <v>39646</v>
      </c>
      <c r="E308" t="str">
        <f>IF(ISBLANK(G308),"Çalışıyor","Ayrıldı")</f>
        <v>Çalışıyor</v>
      </c>
      <c r="F308" t="str">
        <f t="shared" ca="1" si="4"/>
        <v>11 Yıl - 1 Ay - 14 Gün</v>
      </c>
      <c r="G308" s="1"/>
      <c r="H308" s="1"/>
    </row>
    <row r="309" spans="1:8" x14ac:dyDescent="0.45">
      <c r="A309">
        <v>2226</v>
      </c>
      <c r="B309" t="s">
        <v>300</v>
      </c>
      <c r="C309" t="s">
        <v>476</v>
      </c>
      <c r="D309" s="1">
        <v>39369</v>
      </c>
      <c r="E309" t="str">
        <f>IF(ISBLANK(G309),"Çalışıyor","Ayrıldı")</f>
        <v>Çalışıyor</v>
      </c>
      <c r="F309" t="str">
        <f t="shared" ca="1" si="4"/>
        <v>11 Yıl - 10 Ay - 17 Gün</v>
      </c>
      <c r="G309" s="1"/>
      <c r="H309" s="1"/>
    </row>
    <row r="310" spans="1:8" x14ac:dyDescent="0.45">
      <c r="A310">
        <v>2721</v>
      </c>
      <c r="B310" t="s">
        <v>82</v>
      </c>
      <c r="C310" t="s">
        <v>462</v>
      </c>
      <c r="D310" s="1">
        <v>39875</v>
      </c>
      <c r="E310" t="str">
        <f>IF(ISBLANK(G310),"Çalışıyor","Ayrıldı")</f>
        <v>Çalışıyor</v>
      </c>
      <c r="F310" t="str">
        <f t="shared" ca="1" si="4"/>
        <v>10 Yıl - 5 Ay - 28 Gün</v>
      </c>
      <c r="G310" s="1"/>
      <c r="H310" s="1"/>
    </row>
    <row r="311" spans="1:8" x14ac:dyDescent="0.45">
      <c r="A311">
        <v>2178</v>
      </c>
      <c r="B311" t="s">
        <v>54</v>
      </c>
      <c r="C311" t="s">
        <v>473</v>
      </c>
      <c r="D311" s="1">
        <v>41378</v>
      </c>
      <c r="E311" t="str">
        <f>IF(ISBLANK(G311),"Çalışıyor","Ayrıldı")</f>
        <v>Çalışıyor</v>
      </c>
      <c r="F311" t="str">
        <f t="shared" ca="1" si="4"/>
        <v>6 Yıl - 4 Ay - 17 Gün</v>
      </c>
      <c r="G311" s="1"/>
      <c r="H311" s="1"/>
    </row>
    <row r="312" spans="1:8" x14ac:dyDescent="0.45">
      <c r="A312">
        <v>2028</v>
      </c>
      <c r="B312" t="s">
        <v>254</v>
      </c>
      <c r="C312" t="s">
        <v>422</v>
      </c>
      <c r="D312" s="1">
        <v>38834</v>
      </c>
      <c r="E312" t="str">
        <f>IF(ISBLANK(G312),"Çalışıyor","Ayrıldı")</f>
        <v>Çalışıyor</v>
      </c>
      <c r="F312" t="str">
        <f t="shared" ca="1" si="4"/>
        <v>13 Yıl - 4 Ay - 4 Gün</v>
      </c>
      <c r="G312" s="1"/>
      <c r="H312" s="1"/>
    </row>
    <row r="313" spans="1:8" x14ac:dyDescent="0.45">
      <c r="A313">
        <v>3882</v>
      </c>
      <c r="B313" t="s">
        <v>386</v>
      </c>
      <c r="C313" t="s">
        <v>478</v>
      </c>
      <c r="D313" s="1">
        <v>37864</v>
      </c>
      <c r="E313" t="str">
        <f>IF(ISBLANK(G313),"Çalışıyor","Ayrıldı")</f>
        <v>Ayrıldı</v>
      </c>
      <c r="F313" t="str">
        <f t="shared" ca="1" si="4"/>
        <v>14 Yıl - 9 Ay - 11 Gün</v>
      </c>
      <c r="G313" s="1">
        <v>43262</v>
      </c>
      <c r="H313" s="1"/>
    </row>
    <row r="314" spans="1:8" x14ac:dyDescent="0.45">
      <c r="A314">
        <v>3952</v>
      </c>
      <c r="B314" t="s">
        <v>153</v>
      </c>
      <c r="C314" t="s">
        <v>460</v>
      </c>
      <c r="D314" s="1">
        <v>34823</v>
      </c>
      <c r="E314" t="str">
        <f>IF(ISBLANK(G314),"Çalışıyor","Ayrıldı")</f>
        <v>Çalışıyor</v>
      </c>
      <c r="F314" t="str">
        <f t="shared" ca="1" si="4"/>
        <v>24 Yıl - 3 Ay - 27 Gün</v>
      </c>
      <c r="G314" s="1"/>
      <c r="H314" s="1"/>
    </row>
    <row r="315" spans="1:8" x14ac:dyDescent="0.45">
      <c r="A315">
        <v>3031</v>
      </c>
      <c r="B315" t="s">
        <v>171</v>
      </c>
      <c r="C315" t="s">
        <v>463</v>
      </c>
      <c r="D315" s="1">
        <v>37955</v>
      </c>
      <c r="E315" t="str">
        <f>IF(ISBLANK(G315),"Çalışıyor","Ayrıldı")</f>
        <v>Çalışıyor</v>
      </c>
      <c r="F315" t="str">
        <f t="shared" ca="1" si="4"/>
        <v>15 Yıl - 9 Ay - 0 Gün</v>
      </c>
      <c r="G315" s="1"/>
      <c r="H315" s="1"/>
    </row>
    <row r="316" spans="1:8" x14ac:dyDescent="0.45">
      <c r="A316">
        <v>3986</v>
      </c>
      <c r="B316" t="s">
        <v>295</v>
      </c>
      <c r="C316" t="s">
        <v>465</v>
      </c>
      <c r="D316" s="1">
        <v>41317</v>
      </c>
      <c r="E316" t="str">
        <f>IF(ISBLANK(G316),"Çalışıyor","Ayrıldı")</f>
        <v>Çalışıyor</v>
      </c>
      <c r="F316" t="str">
        <f t="shared" ca="1" si="4"/>
        <v>6 Yıl - 6 Ay - 19 Gün</v>
      </c>
      <c r="G316" s="1"/>
      <c r="H316" s="1"/>
    </row>
    <row r="317" spans="1:8" x14ac:dyDescent="0.45">
      <c r="A317">
        <v>3368</v>
      </c>
      <c r="B317" t="s">
        <v>181</v>
      </c>
      <c r="C317" t="s">
        <v>482</v>
      </c>
      <c r="D317" s="1">
        <v>40961</v>
      </c>
      <c r="E317" t="str">
        <f>IF(ISBLANK(G317),"Çalışıyor","Ayrıldı")</f>
        <v>Ayrıldı</v>
      </c>
      <c r="F317" t="str">
        <f t="shared" ca="1" si="4"/>
        <v>6 Yıl - 3 Ay - 19 Gün</v>
      </c>
      <c r="G317" s="1">
        <v>43262</v>
      </c>
      <c r="H317" s="1"/>
    </row>
    <row r="318" spans="1:8" x14ac:dyDescent="0.45">
      <c r="A318">
        <v>4301</v>
      </c>
      <c r="B318" t="s">
        <v>364</v>
      </c>
      <c r="C318" t="s">
        <v>469</v>
      </c>
      <c r="D318" s="1">
        <v>37318</v>
      </c>
      <c r="E318" t="str">
        <f>IF(ISBLANK(G318),"Çalışıyor","Ayrıldı")</f>
        <v>Çalışıyor</v>
      </c>
      <c r="F318" t="str">
        <f t="shared" ca="1" si="4"/>
        <v>17 Yıl - 5 Ay - 28 Gün</v>
      </c>
      <c r="G318" s="1"/>
      <c r="H318" s="1"/>
    </row>
    <row r="319" spans="1:8" x14ac:dyDescent="0.45">
      <c r="A319">
        <v>3272</v>
      </c>
      <c r="B319" t="s">
        <v>17</v>
      </c>
      <c r="C319" t="s">
        <v>468</v>
      </c>
      <c r="D319" s="1">
        <v>40342</v>
      </c>
      <c r="E319" t="str">
        <f>IF(ISBLANK(G319),"Çalışıyor","Ayrıldı")</f>
        <v>Çalışıyor</v>
      </c>
      <c r="F319" t="str">
        <f t="shared" ca="1" si="4"/>
        <v>9 Yıl - 2 Ay - 18 Gün</v>
      </c>
      <c r="G319" s="1"/>
      <c r="H319" s="1"/>
    </row>
    <row r="320" spans="1:8" x14ac:dyDescent="0.45">
      <c r="A320">
        <v>3364</v>
      </c>
      <c r="B320" t="s">
        <v>255</v>
      </c>
      <c r="C320" t="s">
        <v>422</v>
      </c>
      <c r="D320" s="1">
        <v>39592</v>
      </c>
      <c r="E320" t="str">
        <f>IF(ISBLANK(G320),"Çalışıyor","Ayrıldı")</f>
        <v>Ayrıldı</v>
      </c>
      <c r="F320" t="str">
        <f t="shared" ca="1" si="4"/>
        <v>10 Yıl - 0 Ay - 17 Gün</v>
      </c>
      <c r="G320" s="1">
        <v>43262</v>
      </c>
      <c r="H320" s="1"/>
    </row>
    <row r="321" spans="1:8" x14ac:dyDescent="0.45">
      <c r="A321">
        <v>3517</v>
      </c>
      <c r="B321" t="s">
        <v>278</v>
      </c>
      <c r="C321" t="s">
        <v>422</v>
      </c>
      <c r="D321" s="1">
        <v>35068</v>
      </c>
      <c r="E321" t="str">
        <f>IF(ISBLANK(G321),"Çalışıyor","Ayrıldı")</f>
        <v>Çalışıyor</v>
      </c>
      <c r="F321" t="str">
        <f t="shared" ca="1" si="4"/>
        <v>23 Yıl - 7 Ay - 27 Gün</v>
      </c>
      <c r="G321" s="1"/>
      <c r="H321" s="1"/>
    </row>
    <row r="322" spans="1:8" x14ac:dyDescent="0.45">
      <c r="A322">
        <v>2194</v>
      </c>
      <c r="B322" t="s">
        <v>238</v>
      </c>
      <c r="C322" t="s">
        <v>465</v>
      </c>
      <c r="D322" s="1">
        <v>36476</v>
      </c>
      <c r="E322" t="str">
        <f>IF(ISBLANK(G322),"Çalışıyor","Ayrıldı")</f>
        <v>Çalışıyor</v>
      </c>
      <c r="F322" t="str">
        <f t="shared" ca="1" si="4"/>
        <v>19 Yıl - 9 Ay - 19 Gün</v>
      </c>
      <c r="G322" s="1"/>
      <c r="H322" s="1"/>
    </row>
    <row r="323" spans="1:8" x14ac:dyDescent="0.45">
      <c r="A323">
        <v>2368</v>
      </c>
      <c r="B323" t="s">
        <v>80</v>
      </c>
      <c r="C323" t="s">
        <v>465</v>
      </c>
      <c r="D323" s="1">
        <v>34170</v>
      </c>
      <c r="E323" t="str">
        <f>IF(ISBLANK(G323),"Çalışıyor","Ayrıldı")</f>
        <v>Çalışıyor</v>
      </c>
      <c r="F323" t="str">
        <f t="shared" ref="F323:F386" ca="1" si="5">IF(ISBLANK(G323),INT(DAYS360(D323,TODAY(),0)/360)&amp;" Yıl - "&amp;INT(MOD(DAYS360(D323,TODAY(),0),360)/30)&amp;" Ay - "&amp;MOD(MOD(DAYS360(D323,TODAY(),0),360),30)&amp;" Gün",INT(DAYS360(D323,G323,0)/360)&amp;" Yıl - "&amp;INT(MOD(DAYS360(D323,G323,0),360)/30)&amp;" Ay - "&amp;MOD(MOD(DAYS360(D323,G323,0),360),30)&amp;" Gün")</f>
        <v>26 Yıl - 1 Ay - 11 Gün</v>
      </c>
      <c r="G323" s="1"/>
      <c r="H323" s="1"/>
    </row>
    <row r="324" spans="1:8" x14ac:dyDescent="0.45">
      <c r="A324">
        <v>4153</v>
      </c>
      <c r="B324" t="s">
        <v>253</v>
      </c>
      <c r="C324" t="s">
        <v>470</v>
      </c>
      <c r="D324" s="1">
        <v>38808</v>
      </c>
      <c r="E324" t="str">
        <f>IF(ISBLANK(G324),"Çalışıyor","Ayrıldı")</f>
        <v>Çalışıyor</v>
      </c>
      <c r="F324" t="str">
        <f t="shared" ca="1" si="5"/>
        <v>13 Yıl - 5 Ay - 0 Gün</v>
      </c>
      <c r="G324" s="1"/>
      <c r="H324" s="1"/>
    </row>
    <row r="325" spans="1:8" x14ac:dyDescent="0.45">
      <c r="A325">
        <v>3656</v>
      </c>
      <c r="B325" t="s">
        <v>213</v>
      </c>
      <c r="C325" t="s">
        <v>460</v>
      </c>
      <c r="D325" s="1">
        <v>39771</v>
      </c>
      <c r="E325" t="str">
        <f>IF(ISBLANK(G325),"Çalışıyor","Ayrıldı")</f>
        <v>Ayrıldı</v>
      </c>
      <c r="F325" t="str">
        <f t="shared" ca="1" si="5"/>
        <v>9 Yıl - 6 Ay - 22 Gün</v>
      </c>
      <c r="G325" s="1">
        <v>43262</v>
      </c>
      <c r="H325" s="1"/>
    </row>
    <row r="326" spans="1:8" x14ac:dyDescent="0.45">
      <c r="A326">
        <v>2836</v>
      </c>
      <c r="B326" t="s">
        <v>34</v>
      </c>
      <c r="C326" t="s">
        <v>471</v>
      </c>
      <c r="D326" s="1">
        <v>38773</v>
      </c>
      <c r="E326" t="str">
        <f>IF(ISBLANK(G326),"Çalışıyor","Ayrıldı")</f>
        <v>Çalışıyor</v>
      </c>
      <c r="F326" t="str">
        <f t="shared" ca="1" si="5"/>
        <v>13 Yıl - 6 Ay - 6 Gün</v>
      </c>
      <c r="G326" s="1"/>
      <c r="H326" s="1"/>
    </row>
    <row r="327" spans="1:8" x14ac:dyDescent="0.45">
      <c r="A327">
        <v>2774</v>
      </c>
      <c r="B327" t="s">
        <v>200</v>
      </c>
      <c r="C327" t="s">
        <v>464</v>
      </c>
      <c r="D327" s="1">
        <v>35776</v>
      </c>
      <c r="E327" t="str">
        <f>IF(ISBLANK(G327),"Çalışıyor","Ayrıldı")</f>
        <v>Çalışıyor</v>
      </c>
      <c r="F327" t="str">
        <f t="shared" ca="1" si="5"/>
        <v>21 Yıl - 8 Ay - 19 Gün</v>
      </c>
      <c r="G327" s="1"/>
      <c r="H327" s="1"/>
    </row>
    <row r="328" spans="1:8" x14ac:dyDescent="0.45">
      <c r="A328">
        <v>3186</v>
      </c>
      <c r="B328" t="s">
        <v>127</v>
      </c>
      <c r="C328" t="s">
        <v>473</v>
      </c>
      <c r="D328" s="1">
        <v>41146</v>
      </c>
      <c r="E328" t="str">
        <f>IF(ISBLANK(G328),"Çalışıyor","Ayrıldı")</f>
        <v>Ayrıldı</v>
      </c>
      <c r="F328" t="str">
        <f t="shared" ca="1" si="5"/>
        <v>5 Yıl - 9 Ay - 16 Gün</v>
      </c>
      <c r="G328" s="1">
        <v>43262</v>
      </c>
      <c r="H328" s="1"/>
    </row>
    <row r="329" spans="1:8" x14ac:dyDescent="0.45">
      <c r="A329">
        <v>3757</v>
      </c>
      <c r="B329" t="s">
        <v>321</v>
      </c>
      <c r="C329" t="s">
        <v>480</v>
      </c>
      <c r="D329" s="1">
        <v>41877</v>
      </c>
      <c r="E329" t="str">
        <f>IF(ISBLANK(G329),"Çalışıyor","Ayrıldı")</f>
        <v>Çalışıyor</v>
      </c>
      <c r="F329" t="str">
        <f t="shared" ca="1" si="5"/>
        <v>5 Yıl - 0 Ay - 5 Gün</v>
      </c>
      <c r="G329" s="1"/>
      <c r="H329" s="1"/>
    </row>
    <row r="330" spans="1:8" x14ac:dyDescent="0.45">
      <c r="A330">
        <v>2579</v>
      </c>
      <c r="B330" t="s">
        <v>296</v>
      </c>
      <c r="C330" t="s">
        <v>421</v>
      </c>
      <c r="D330" s="1">
        <v>36384</v>
      </c>
      <c r="E330" t="str">
        <f>IF(ISBLANK(G330),"Çalışıyor","Ayrıldı")</f>
        <v>Çalışıyor</v>
      </c>
      <c r="F330" t="str">
        <f t="shared" ca="1" si="5"/>
        <v>20 Yıl - 0 Ay - 19 Gün</v>
      </c>
      <c r="G330" s="1"/>
      <c r="H330" s="1"/>
    </row>
    <row r="331" spans="1:8" x14ac:dyDescent="0.45">
      <c r="A331">
        <v>3357</v>
      </c>
      <c r="B331" t="s">
        <v>74</v>
      </c>
      <c r="C331" t="s">
        <v>469</v>
      </c>
      <c r="D331" s="1">
        <v>42577</v>
      </c>
      <c r="E331" t="str">
        <f>IF(ISBLANK(G331),"Çalışıyor","Ayrıldı")</f>
        <v>Çalışıyor</v>
      </c>
      <c r="F331" t="str">
        <f t="shared" ca="1" si="5"/>
        <v>3 Yıl - 1 Ay - 5 Gün</v>
      </c>
      <c r="G331" s="1"/>
      <c r="H331" s="1"/>
    </row>
    <row r="332" spans="1:8" x14ac:dyDescent="0.45">
      <c r="A332">
        <v>2805</v>
      </c>
      <c r="B332" t="s">
        <v>357</v>
      </c>
      <c r="C332" t="s">
        <v>465</v>
      </c>
      <c r="D332" s="1">
        <v>32765</v>
      </c>
      <c r="E332" t="str">
        <f>IF(ISBLANK(G332),"Çalışıyor","Ayrıldı")</f>
        <v>Çalışıyor</v>
      </c>
      <c r="F332" t="str">
        <f t="shared" ca="1" si="5"/>
        <v>29 Yıl - 11 Ay - 17 Gün</v>
      </c>
      <c r="G332" s="1"/>
      <c r="H332" s="1"/>
    </row>
    <row r="333" spans="1:8" x14ac:dyDescent="0.45">
      <c r="A333">
        <v>2954</v>
      </c>
      <c r="B333" t="s">
        <v>135</v>
      </c>
      <c r="C333" t="s">
        <v>476</v>
      </c>
      <c r="D333" s="1">
        <v>36313</v>
      </c>
      <c r="E333" t="str">
        <f>IF(ISBLANK(G333),"Çalışıyor","Ayrıldı")</f>
        <v>Çalışıyor</v>
      </c>
      <c r="F333" t="str">
        <f t="shared" ca="1" si="5"/>
        <v>20 Yıl - 2 Ay - 29 Gün</v>
      </c>
      <c r="G333" s="1"/>
      <c r="H333" s="1"/>
    </row>
    <row r="334" spans="1:8" x14ac:dyDescent="0.45">
      <c r="A334">
        <v>3554</v>
      </c>
      <c r="B334" t="s">
        <v>83</v>
      </c>
      <c r="C334" t="s">
        <v>420</v>
      </c>
      <c r="D334" s="1">
        <v>38447</v>
      </c>
      <c r="E334" t="str">
        <f>IF(ISBLANK(G334),"Çalışıyor","Ayrıldı")</f>
        <v>Ayrıldı</v>
      </c>
      <c r="F334" t="str">
        <f t="shared" ca="1" si="5"/>
        <v>13 Yıl - 2 Ay - 6 Gün</v>
      </c>
      <c r="G334" s="1">
        <v>43262</v>
      </c>
      <c r="H334" s="1"/>
    </row>
    <row r="335" spans="1:8" x14ac:dyDescent="0.45">
      <c r="A335">
        <v>2853</v>
      </c>
      <c r="B335" t="s">
        <v>412</v>
      </c>
      <c r="C335" t="s">
        <v>461</v>
      </c>
      <c r="D335" s="1">
        <v>33493</v>
      </c>
      <c r="E335" t="str">
        <f>IF(ISBLANK(G335),"Çalışıyor","Ayrıldı")</f>
        <v>Çalışıyor</v>
      </c>
      <c r="F335" t="str">
        <f t="shared" ca="1" si="5"/>
        <v>27 Yıl - 11 Ay - 19 Gün</v>
      </c>
      <c r="G335" s="1"/>
      <c r="H335" s="1"/>
    </row>
    <row r="336" spans="1:8" x14ac:dyDescent="0.45">
      <c r="A336">
        <v>2744</v>
      </c>
      <c r="B336" t="s">
        <v>289</v>
      </c>
      <c r="C336" t="s">
        <v>474</v>
      </c>
      <c r="D336" s="1">
        <v>39840</v>
      </c>
      <c r="E336" t="str">
        <f>IF(ISBLANK(G336),"Çalışıyor","Ayrıldı")</f>
        <v>Ayrıldı</v>
      </c>
      <c r="F336" t="str">
        <f t="shared" ca="1" si="5"/>
        <v>9 Yıl - 4 Ay - 14 Gün</v>
      </c>
      <c r="G336" s="1">
        <v>43262</v>
      </c>
      <c r="H336" s="1"/>
    </row>
    <row r="337" spans="1:8" x14ac:dyDescent="0.45">
      <c r="A337">
        <v>2962</v>
      </c>
      <c r="B337" t="s">
        <v>212</v>
      </c>
      <c r="C337" t="s">
        <v>465</v>
      </c>
      <c r="D337" s="1">
        <v>41657</v>
      </c>
      <c r="E337" t="str">
        <f>IF(ISBLANK(G337),"Çalışıyor","Ayrıldı")</f>
        <v>Çalışıyor</v>
      </c>
      <c r="F337" t="str">
        <f t="shared" ca="1" si="5"/>
        <v>5 Yıl - 7 Ay - 13 Gün</v>
      </c>
      <c r="G337" s="1"/>
      <c r="H337" s="1"/>
    </row>
    <row r="338" spans="1:8" x14ac:dyDescent="0.45">
      <c r="A338">
        <v>2221</v>
      </c>
      <c r="B338" t="s">
        <v>324</v>
      </c>
      <c r="C338" t="s">
        <v>460</v>
      </c>
      <c r="D338" s="1">
        <v>36371</v>
      </c>
      <c r="E338" t="str">
        <f>IF(ISBLANK(G338),"Çalışıyor","Ayrıldı")</f>
        <v>Çalışıyor</v>
      </c>
      <c r="F338" t="str">
        <f t="shared" ca="1" si="5"/>
        <v>20 Yıl - 1 Ay - 0 Gün</v>
      </c>
      <c r="G338" s="1"/>
      <c r="H338" s="1"/>
    </row>
    <row r="339" spans="1:8" x14ac:dyDescent="0.45">
      <c r="A339">
        <v>3418</v>
      </c>
      <c r="B339" t="s">
        <v>174</v>
      </c>
      <c r="C339" t="s">
        <v>471</v>
      </c>
      <c r="D339" s="1">
        <v>38133</v>
      </c>
      <c r="E339" t="str">
        <f>IF(ISBLANK(G339),"Çalışıyor","Ayrıldı")</f>
        <v>Çalışıyor</v>
      </c>
      <c r="F339" t="str">
        <f t="shared" ca="1" si="5"/>
        <v>15 Yıl - 3 Ay - 5 Gün</v>
      </c>
      <c r="G339" s="1"/>
      <c r="H339" s="1"/>
    </row>
    <row r="340" spans="1:8" x14ac:dyDescent="0.45">
      <c r="A340">
        <v>2828</v>
      </c>
      <c r="B340" t="s">
        <v>66</v>
      </c>
      <c r="C340" t="s">
        <v>466</v>
      </c>
      <c r="D340" s="1">
        <v>37975</v>
      </c>
      <c r="E340" t="str">
        <f>IF(ISBLANK(G340),"Çalışıyor","Ayrıldı")</f>
        <v>Çalışıyor</v>
      </c>
      <c r="F340" t="str">
        <f t="shared" ca="1" si="5"/>
        <v>15 Yıl - 8 Ay - 11 Gün</v>
      </c>
      <c r="G340" s="1"/>
      <c r="H340" s="1"/>
    </row>
    <row r="341" spans="1:8" x14ac:dyDescent="0.45">
      <c r="A341">
        <v>3744</v>
      </c>
      <c r="B341" t="s">
        <v>43</v>
      </c>
      <c r="C341" t="s">
        <v>465</v>
      </c>
      <c r="D341" s="1">
        <v>39238</v>
      </c>
      <c r="E341" t="str">
        <f>IF(ISBLANK(G341),"Çalışıyor","Ayrıldı")</f>
        <v>Çalışıyor</v>
      </c>
      <c r="F341" t="str">
        <f t="shared" ca="1" si="5"/>
        <v>12 Yıl - 2 Ay - 26 Gün</v>
      </c>
      <c r="G341" s="1"/>
      <c r="H341" s="1"/>
    </row>
    <row r="342" spans="1:8" x14ac:dyDescent="0.45">
      <c r="A342">
        <v>2606</v>
      </c>
      <c r="B342" t="s">
        <v>180</v>
      </c>
      <c r="C342" t="s">
        <v>467</v>
      </c>
      <c r="D342" s="1">
        <v>43039</v>
      </c>
      <c r="E342" t="str">
        <f>IF(ISBLANK(G342),"Çalışıyor","Ayrıldı")</f>
        <v>Çalışıyor</v>
      </c>
      <c r="F342" t="str">
        <f t="shared" ca="1" si="5"/>
        <v>1 Yıl - 10 Ay - 0 Gün</v>
      </c>
      <c r="G342" s="1"/>
      <c r="H342" s="1"/>
    </row>
    <row r="343" spans="1:8" x14ac:dyDescent="0.45">
      <c r="A343">
        <v>2421</v>
      </c>
      <c r="B343" t="s">
        <v>298</v>
      </c>
      <c r="C343" t="s">
        <v>479</v>
      </c>
      <c r="D343" s="1">
        <v>42375</v>
      </c>
      <c r="E343" t="str">
        <f>IF(ISBLANK(G343),"Çalışıyor","Ayrıldı")</f>
        <v>Ayrıldı</v>
      </c>
      <c r="F343" t="str">
        <f t="shared" ca="1" si="5"/>
        <v>2 Yıl - 5 Ay - 5 Gün</v>
      </c>
      <c r="G343" s="1">
        <v>43262</v>
      </c>
      <c r="H343" s="1"/>
    </row>
    <row r="344" spans="1:8" x14ac:dyDescent="0.45">
      <c r="A344">
        <v>2703</v>
      </c>
      <c r="B344" t="s">
        <v>78</v>
      </c>
      <c r="C344" t="s">
        <v>422</v>
      </c>
      <c r="D344" s="1">
        <v>38864</v>
      </c>
      <c r="E344" t="str">
        <f>IF(ISBLANK(G344),"Çalışıyor","Ayrıldı")</f>
        <v>Ayrıldı</v>
      </c>
      <c r="F344" t="str">
        <f t="shared" ca="1" si="5"/>
        <v>12 Yıl - 0 Ay - 14 Gün</v>
      </c>
      <c r="G344" s="1">
        <v>43262</v>
      </c>
      <c r="H344" s="1"/>
    </row>
    <row r="345" spans="1:8" x14ac:dyDescent="0.45">
      <c r="A345">
        <v>3981</v>
      </c>
      <c r="B345" t="s">
        <v>195</v>
      </c>
      <c r="C345" t="s">
        <v>461</v>
      </c>
      <c r="D345" s="1">
        <v>43230</v>
      </c>
      <c r="E345" t="str">
        <f>IF(ISBLANK(G345),"Çalışıyor","Ayrıldı")</f>
        <v>Çalışıyor</v>
      </c>
      <c r="F345" t="str">
        <f t="shared" ca="1" si="5"/>
        <v>1 Yıl - 3 Ay - 21 Gün</v>
      </c>
      <c r="G345" s="1"/>
      <c r="H345" s="1"/>
    </row>
    <row r="346" spans="1:8" x14ac:dyDescent="0.45">
      <c r="A346">
        <v>2878</v>
      </c>
      <c r="B346" t="s">
        <v>138</v>
      </c>
      <c r="C346" t="s">
        <v>466</v>
      </c>
      <c r="D346" s="1">
        <v>39168</v>
      </c>
      <c r="E346" t="str">
        <f>IF(ISBLANK(G346),"Çalışıyor","Ayrıldı")</f>
        <v>Çalışıyor</v>
      </c>
      <c r="F346" t="str">
        <f t="shared" ca="1" si="5"/>
        <v>12 Yıl - 5 Ay - 4 Gün</v>
      </c>
      <c r="G346" s="1"/>
      <c r="H346" s="1"/>
    </row>
    <row r="347" spans="1:8" x14ac:dyDescent="0.45">
      <c r="A347">
        <v>2321</v>
      </c>
      <c r="B347" t="s">
        <v>285</v>
      </c>
      <c r="C347" t="s">
        <v>418</v>
      </c>
      <c r="D347" s="1">
        <v>38308</v>
      </c>
      <c r="E347" t="str">
        <f>IF(ISBLANK(G347),"Çalışıyor","Ayrıldı")</f>
        <v>Çalışıyor</v>
      </c>
      <c r="F347" t="str">
        <f t="shared" ca="1" si="5"/>
        <v>14 Yıl - 9 Ay - 14 Gün</v>
      </c>
      <c r="G347" s="1"/>
      <c r="H347" s="1"/>
    </row>
    <row r="348" spans="1:8" x14ac:dyDescent="0.45">
      <c r="A348">
        <v>2731</v>
      </c>
      <c r="B348" t="s">
        <v>21</v>
      </c>
      <c r="C348" t="s">
        <v>470</v>
      </c>
      <c r="D348" s="1">
        <v>42379</v>
      </c>
      <c r="E348" t="str">
        <f>IF(ISBLANK(G348),"Çalışıyor","Ayrıldı")</f>
        <v>Çalışıyor</v>
      </c>
      <c r="F348" t="str">
        <f t="shared" ca="1" si="5"/>
        <v>3 Yıl - 7 Ay - 21 Gün</v>
      </c>
      <c r="G348" s="1"/>
      <c r="H348" s="1"/>
    </row>
    <row r="349" spans="1:8" x14ac:dyDescent="0.45">
      <c r="A349">
        <v>4207</v>
      </c>
      <c r="B349" t="s">
        <v>288</v>
      </c>
      <c r="C349" t="s">
        <v>477</v>
      </c>
      <c r="D349" s="1">
        <v>35056</v>
      </c>
      <c r="E349" t="str">
        <f>IF(ISBLANK(G349),"Çalışıyor","Ayrıldı")</f>
        <v>Çalışıyor</v>
      </c>
      <c r="F349" t="str">
        <f t="shared" ca="1" si="5"/>
        <v>23 Yıl - 8 Ay - 8 Gün</v>
      </c>
      <c r="G349" s="1"/>
      <c r="H349" s="1"/>
    </row>
    <row r="350" spans="1:8" x14ac:dyDescent="0.45">
      <c r="A350">
        <v>2121</v>
      </c>
      <c r="B350" t="s">
        <v>389</v>
      </c>
      <c r="C350" t="s">
        <v>466</v>
      </c>
      <c r="D350" s="1">
        <v>35044</v>
      </c>
      <c r="E350" t="str">
        <f>IF(ISBLANK(G350),"Çalışıyor","Ayrıldı")</f>
        <v>Çalışıyor</v>
      </c>
      <c r="F350" t="str">
        <f t="shared" ca="1" si="5"/>
        <v>23 Yıl - 8 Ay - 20 Gün</v>
      </c>
      <c r="G350" s="1"/>
      <c r="H350" s="1"/>
    </row>
    <row r="351" spans="1:8" x14ac:dyDescent="0.45">
      <c r="A351">
        <v>3355</v>
      </c>
      <c r="B351" t="s">
        <v>31</v>
      </c>
      <c r="C351" t="s">
        <v>476</v>
      </c>
      <c r="D351" s="1">
        <v>38985</v>
      </c>
      <c r="E351" t="str">
        <f>IF(ISBLANK(G351),"Çalışıyor","Ayrıldı")</f>
        <v>Çalışıyor</v>
      </c>
      <c r="F351" t="str">
        <f t="shared" ca="1" si="5"/>
        <v>12 Yıl - 11 Ay - 6 Gün</v>
      </c>
      <c r="G351" s="1"/>
      <c r="H351" s="1"/>
    </row>
    <row r="352" spans="1:8" x14ac:dyDescent="0.45">
      <c r="A352">
        <v>2195</v>
      </c>
      <c r="B352" t="s">
        <v>140</v>
      </c>
      <c r="C352" t="s">
        <v>460</v>
      </c>
      <c r="D352" s="1">
        <v>33576</v>
      </c>
      <c r="E352" t="str">
        <f>IF(ISBLANK(G352),"Çalışıyor","Ayrıldı")</f>
        <v>Çalışıyor</v>
      </c>
      <c r="F352" t="str">
        <f t="shared" ca="1" si="5"/>
        <v>27 Yıl - 8 Ay - 27 Gün</v>
      </c>
      <c r="G352" s="1"/>
      <c r="H352" s="1"/>
    </row>
    <row r="353" spans="1:8" x14ac:dyDescent="0.45">
      <c r="A353">
        <v>3278</v>
      </c>
      <c r="B353" t="s">
        <v>354</v>
      </c>
      <c r="C353" t="s">
        <v>460</v>
      </c>
      <c r="D353" s="1">
        <v>33524</v>
      </c>
      <c r="E353" t="str">
        <f>IF(ISBLANK(G353),"Çalışıyor","Ayrıldı")</f>
        <v>Çalışıyor</v>
      </c>
      <c r="F353" t="str">
        <f t="shared" ca="1" si="5"/>
        <v>27 Yıl - 10 Ay - 18 Gün</v>
      </c>
      <c r="G353" s="1"/>
      <c r="H353" s="1"/>
    </row>
    <row r="354" spans="1:8" x14ac:dyDescent="0.45">
      <c r="A354">
        <v>3637</v>
      </c>
      <c r="B354" t="s">
        <v>209</v>
      </c>
      <c r="C354" t="s">
        <v>469</v>
      </c>
      <c r="D354" s="1">
        <v>37957</v>
      </c>
      <c r="E354" t="str">
        <f>IF(ISBLANK(G354),"Çalışıyor","Ayrıldı")</f>
        <v>Çalışıyor</v>
      </c>
      <c r="F354" t="str">
        <f t="shared" ca="1" si="5"/>
        <v>15 Yıl - 8 Ay - 29 Gün</v>
      </c>
      <c r="G354" s="1"/>
      <c r="H354" s="1"/>
    </row>
    <row r="355" spans="1:8" x14ac:dyDescent="0.45">
      <c r="A355">
        <v>2612</v>
      </c>
      <c r="B355" t="s">
        <v>380</v>
      </c>
      <c r="C355" t="s">
        <v>477</v>
      </c>
      <c r="D355" s="1">
        <v>41141</v>
      </c>
      <c r="E355" t="str">
        <f>IF(ISBLANK(G355),"Çalışıyor","Ayrıldı")</f>
        <v>Çalışıyor</v>
      </c>
      <c r="F355" t="str">
        <f t="shared" ca="1" si="5"/>
        <v>7 Yıl - 0 Ay - 11 Gün</v>
      </c>
      <c r="G355" s="1"/>
      <c r="H355" s="1"/>
    </row>
    <row r="356" spans="1:8" x14ac:dyDescent="0.45">
      <c r="A356">
        <v>2092</v>
      </c>
      <c r="B356" t="s">
        <v>282</v>
      </c>
      <c r="C356" t="s">
        <v>477</v>
      </c>
      <c r="D356" s="1">
        <v>38312</v>
      </c>
      <c r="E356" t="str">
        <f>IF(ISBLANK(G356),"Çalışıyor","Ayrıldı")</f>
        <v>Çalışıyor</v>
      </c>
      <c r="F356" t="str">
        <f t="shared" ca="1" si="5"/>
        <v>14 Yıl - 9 Ay - 10 Gün</v>
      </c>
      <c r="G356" s="1"/>
      <c r="H356" s="1"/>
    </row>
    <row r="357" spans="1:8" x14ac:dyDescent="0.45">
      <c r="A357">
        <v>4073</v>
      </c>
      <c r="B357" t="s">
        <v>121</v>
      </c>
      <c r="C357" t="s">
        <v>463</v>
      </c>
      <c r="D357" s="1">
        <v>32811</v>
      </c>
      <c r="E357" t="str">
        <f>IF(ISBLANK(G357),"Çalışıyor","Ayrıldı")</f>
        <v>Çalışıyor</v>
      </c>
      <c r="F357" t="str">
        <f t="shared" ca="1" si="5"/>
        <v>29 Yıl - 10 Ay - 0 Gün</v>
      </c>
      <c r="G357" s="1"/>
      <c r="H357" s="1"/>
    </row>
    <row r="358" spans="1:8" x14ac:dyDescent="0.45">
      <c r="A358">
        <v>2337</v>
      </c>
      <c r="B358" t="s">
        <v>349</v>
      </c>
      <c r="C358" t="s">
        <v>422</v>
      </c>
      <c r="D358" s="1">
        <v>42886</v>
      </c>
      <c r="E358" t="str">
        <f>IF(ISBLANK(G358),"Çalışıyor","Ayrıldı")</f>
        <v>Çalışıyor</v>
      </c>
      <c r="F358" t="str">
        <f t="shared" ca="1" si="5"/>
        <v>2 Yıl - 3 Ay - 0 Gün</v>
      </c>
      <c r="G358" s="1"/>
      <c r="H358" s="1"/>
    </row>
    <row r="359" spans="1:8" x14ac:dyDescent="0.45">
      <c r="A359">
        <v>3644</v>
      </c>
      <c r="B359" t="s">
        <v>343</v>
      </c>
      <c r="C359" t="s">
        <v>476</v>
      </c>
      <c r="D359" s="1">
        <v>40484</v>
      </c>
      <c r="E359" t="str">
        <f>IF(ISBLANK(G359),"Çalışıyor","Ayrıldı")</f>
        <v>Çalışıyor</v>
      </c>
      <c r="F359" t="str">
        <f t="shared" ca="1" si="5"/>
        <v>8 Yıl - 9 Ay - 29 Gün</v>
      </c>
      <c r="G359" s="1"/>
      <c r="H359" s="1"/>
    </row>
    <row r="360" spans="1:8" x14ac:dyDescent="0.45">
      <c r="A360">
        <v>3993</v>
      </c>
      <c r="B360" t="s">
        <v>257</v>
      </c>
      <c r="C360" t="s">
        <v>419</v>
      </c>
      <c r="D360" s="1">
        <v>36692</v>
      </c>
      <c r="E360" t="str">
        <f>IF(ISBLANK(G360),"Çalışıyor","Ayrıldı")</f>
        <v>Çalışıyor</v>
      </c>
      <c r="F360" t="str">
        <f t="shared" ca="1" si="5"/>
        <v>19 Yıl - 2 Ay - 16 Gün</v>
      </c>
      <c r="G360" s="1"/>
      <c r="H360" s="1"/>
    </row>
    <row r="361" spans="1:8" x14ac:dyDescent="0.45">
      <c r="A361">
        <v>2380</v>
      </c>
      <c r="B361" t="s">
        <v>413</v>
      </c>
      <c r="C361" t="s">
        <v>460</v>
      </c>
      <c r="D361" s="1">
        <v>38725</v>
      </c>
      <c r="E361" t="str">
        <f>IF(ISBLANK(G361),"Çalışıyor","Ayrıldı")</f>
        <v>Çalışıyor</v>
      </c>
      <c r="F361" t="str">
        <f t="shared" ca="1" si="5"/>
        <v>13 Yıl - 7 Ay - 23 Gün</v>
      </c>
      <c r="G361" s="1"/>
      <c r="H361" s="1"/>
    </row>
    <row r="362" spans="1:8" x14ac:dyDescent="0.45">
      <c r="A362">
        <v>4446</v>
      </c>
      <c r="B362" t="s">
        <v>154</v>
      </c>
      <c r="C362" t="s">
        <v>472</v>
      </c>
      <c r="D362" s="1">
        <v>42544</v>
      </c>
      <c r="E362" t="str">
        <f>IF(ISBLANK(G362),"Çalışıyor","Ayrıldı")</f>
        <v>Çalışıyor</v>
      </c>
      <c r="F362" t="str">
        <f t="shared" ca="1" si="5"/>
        <v>3 Yıl - 2 Ay - 8 Gün</v>
      </c>
      <c r="G362" s="1"/>
      <c r="H362" s="1"/>
    </row>
    <row r="363" spans="1:8" x14ac:dyDescent="0.45">
      <c r="A363">
        <v>2236</v>
      </c>
      <c r="B363" t="s">
        <v>191</v>
      </c>
      <c r="C363" t="s">
        <v>419</v>
      </c>
      <c r="D363" s="1">
        <v>38722</v>
      </c>
      <c r="E363" t="str">
        <f>IF(ISBLANK(G363),"Çalışıyor","Ayrıldı")</f>
        <v>Çalışıyor</v>
      </c>
      <c r="F363" t="str">
        <f t="shared" ca="1" si="5"/>
        <v>13 Yıl - 7 Ay - 26 Gün</v>
      </c>
      <c r="G363" s="1"/>
      <c r="H363" s="1"/>
    </row>
    <row r="364" spans="1:8" x14ac:dyDescent="0.45">
      <c r="A364">
        <v>2691</v>
      </c>
      <c r="B364" t="s">
        <v>313</v>
      </c>
      <c r="C364" t="s">
        <v>422</v>
      </c>
      <c r="D364" s="1">
        <v>38552</v>
      </c>
      <c r="E364" t="str">
        <f>IF(ISBLANK(G364),"Çalışıyor","Ayrıldı")</f>
        <v>Ayrıldı</v>
      </c>
      <c r="F364" t="str">
        <f t="shared" ca="1" si="5"/>
        <v>12 Yıl - 10 Ay - 22 Gün</v>
      </c>
      <c r="G364" s="1">
        <v>43262</v>
      </c>
      <c r="H364" s="1"/>
    </row>
    <row r="365" spans="1:8" x14ac:dyDescent="0.45">
      <c r="A365">
        <v>3510</v>
      </c>
      <c r="B365" t="s">
        <v>9</v>
      </c>
      <c r="C365" t="s">
        <v>468</v>
      </c>
      <c r="D365" s="1">
        <v>41824</v>
      </c>
      <c r="E365" t="str">
        <f>IF(ISBLANK(G365),"Çalışıyor","Ayrıldı")</f>
        <v>Çalışıyor</v>
      </c>
      <c r="F365" t="str">
        <f t="shared" ca="1" si="5"/>
        <v>5 Yıl - 1 Ay - 27 Gün</v>
      </c>
      <c r="G365" s="1"/>
      <c r="H365" s="1"/>
    </row>
    <row r="366" spans="1:8" x14ac:dyDescent="0.45">
      <c r="A366">
        <v>4245</v>
      </c>
      <c r="B366" t="s">
        <v>258</v>
      </c>
      <c r="C366" t="s">
        <v>475</v>
      </c>
      <c r="D366" s="1">
        <v>33850</v>
      </c>
      <c r="E366" t="str">
        <f>IF(ISBLANK(G366),"Çalışıyor","Ayrıldı")</f>
        <v>Çalışıyor</v>
      </c>
      <c r="F366" t="str">
        <f t="shared" ca="1" si="5"/>
        <v>26 Yıl - 11 Ay - 28 Gün</v>
      </c>
      <c r="G366" s="1"/>
      <c r="H366" s="1"/>
    </row>
    <row r="367" spans="1:8" x14ac:dyDescent="0.45">
      <c r="A367">
        <v>2446</v>
      </c>
      <c r="B367" t="s">
        <v>268</v>
      </c>
      <c r="C367" t="s">
        <v>480</v>
      </c>
      <c r="D367" s="1">
        <v>43146</v>
      </c>
      <c r="E367" t="str">
        <f>IF(ISBLANK(G367),"Çalışıyor","Ayrıldı")</f>
        <v>Çalışıyor</v>
      </c>
      <c r="F367" t="str">
        <f t="shared" ca="1" si="5"/>
        <v>1 Yıl - 6 Ay - 16 Gün</v>
      </c>
      <c r="G367" s="1"/>
      <c r="H367" s="1"/>
    </row>
    <row r="368" spans="1:8" x14ac:dyDescent="0.45">
      <c r="A368">
        <v>2675</v>
      </c>
      <c r="B368" t="s">
        <v>20</v>
      </c>
      <c r="C368" t="s">
        <v>480</v>
      </c>
      <c r="D368" s="1">
        <v>38872</v>
      </c>
      <c r="E368" t="str">
        <f>IF(ISBLANK(G368),"Çalışıyor","Ayrıldı")</f>
        <v>Ayrıldı</v>
      </c>
      <c r="F368" t="str">
        <f t="shared" ca="1" si="5"/>
        <v>12 Yıl - 0 Ay - 7 Gün</v>
      </c>
      <c r="G368" s="1">
        <v>43262</v>
      </c>
      <c r="H368" s="1"/>
    </row>
    <row r="369" spans="1:8" x14ac:dyDescent="0.45">
      <c r="A369">
        <v>4015</v>
      </c>
      <c r="B369" t="s">
        <v>205</v>
      </c>
      <c r="C369" t="s">
        <v>467</v>
      </c>
      <c r="D369" s="1">
        <v>41824</v>
      </c>
      <c r="E369" t="str">
        <f>IF(ISBLANK(G369),"Çalışıyor","Ayrıldı")</f>
        <v>Çalışıyor</v>
      </c>
      <c r="F369" t="str">
        <f t="shared" ca="1" si="5"/>
        <v>5 Yıl - 1 Ay - 27 Gün</v>
      </c>
      <c r="G369" s="1"/>
      <c r="H369" s="1"/>
    </row>
    <row r="370" spans="1:8" x14ac:dyDescent="0.45">
      <c r="A370">
        <v>2089</v>
      </c>
      <c r="B370" t="s">
        <v>338</v>
      </c>
      <c r="C370" t="s">
        <v>471</v>
      </c>
      <c r="D370" s="1">
        <v>32549</v>
      </c>
      <c r="E370" t="str">
        <f>IF(ISBLANK(G370),"Çalışıyor","Ayrıldı")</f>
        <v>Ayrıldı</v>
      </c>
      <c r="F370" t="str">
        <f t="shared" ca="1" si="5"/>
        <v>27 Yıl - 3 Ay - 1 Gün</v>
      </c>
      <c r="G370" s="1">
        <v>42501</v>
      </c>
      <c r="H370" s="1"/>
    </row>
    <row r="371" spans="1:8" x14ac:dyDescent="0.45">
      <c r="A371">
        <v>3639</v>
      </c>
      <c r="B371" t="s">
        <v>376</v>
      </c>
      <c r="C371" t="s">
        <v>460</v>
      </c>
      <c r="D371" s="1">
        <v>41562</v>
      </c>
      <c r="E371" t="str">
        <f>IF(ISBLANK(G371),"Çalışıyor","Ayrıldı")</f>
        <v>Çalışıyor</v>
      </c>
      <c r="F371" t="str">
        <f t="shared" ca="1" si="5"/>
        <v>5 Yıl - 10 Ay - 16 Gün</v>
      </c>
      <c r="G371" s="1"/>
      <c r="H371" s="1"/>
    </row>
    <row r="372" spans="1:8" x14ac:dyDescent="0.45">
      <c r="A372">
        <v>3671</v>
      </c>
      <c r="B372" t="s">
        <v>18</v>
      </c>
      <c r="C372" t="s">
        <v>461</v>
      </c>
      <c r="D372" s="1">
        <v>38288</v>
      </c>
      <c r="E372" t="str">
        <f>IF(ISBLANK(G372),"Çalışıyor","Ayrıldı")</f>
        <v>Ayrıldı</v>
      </c>
      <c r="F372" t="str">
        <f t="shared" ca="1" si="5"/>
        <v>13 Yıl - 7 Ay - 13 Gün</v>
      </c>
      <c r="G372" s="1">
        <v>43262</v>
      </c>
      <c r="H372" s="1"/>
    </row>
    <row r="373" spans="1:8" x14ac:dyDescent="0.45">
      <c r="A373">
        <v>2709</v>
      </c>
      <c r="B373" t="s">
        <v>245</v>
      </c>
      <c r="C373" t="s">
        <v>480</v>
      </c>
      <c r="D373" s="1">
        <v>35305</v>
      </c>
      <c r="E373" t="str">
        <f>IF(ISBLANK(G373),"Çalışıyor","Ayrıldı")</f>
        <v>Çalışıyor</v>
      </c>
      <c r="F373" t="str">
        <f t="shared" ca="1" si="5"/>
        <v>23 Yıl - 0 Ay - 3 Gün</v>
      </c>
      <c r="G373" s="1"/>
      <c r="H373" s="1"/>
    </row>
    <row r="374" spans="1:8" x14ac:dyDescent="0.45">
      <c r="A374">
        <v>2362</v>
      </c>
      <c r="B374" t="s">
        <v>360</v>
      </c>
      <c r="C374" t="s">
        <v>479</v>
      </c>
      <c r="D374" s="1">
        <v>37517</v>
      </c>
      <c r="E374" t="str">
        <f>IF(ISBLANK(G374),"Çalışıyor","Ayrıldı")</f>
        <v>Çalışıyor</v>
      </c>
      <c r="F374" t="str">
        <f t="shared" ca="1" si="5"/>
        <v>16 Yıl - 11 Ay - 13 Gün</v>
      </c>
      <c r="G374" s="1"/>
      <c r="H374" s="1"/>
    </row>
    <row r="375" spans="1:8" x14ac:dyDescent="0.45">
      <c r="A375">
        <v>3102</v>
      </c>
      <c r="B375" t="s">
        <v>248</v>
      </c>
      <c r="C375" t="s">
        <v>420</v>
      </c>
      <c r="D375" s="1">
        <v>42959</v>
      </c>
      <c r="E375" t="str">
        <f>IF(ISBLANK(G375),"Çalışıyor","Ayrıldı")</f>
        <v>Çalışıyor</v>
      </c>
      <c r="F375" t="str">
        <f t="shared" ca="1" si="5"/>
        <v>2 Yıl - 0 Ay - 19 Gün</v>
      </c>
      <c r="G375" s="1"/>
      <c r="H375" s="1"/>
    </row>
    <row r="376" spans="1:8" x14ac:dyDescent="0.45">
      <c r="A376">
        <v>2593</v>
      </c>
      <c r="B376" t="s">
        <v>176</v>
      </c>
      <c r="C376" t="s">
        <v>475</v>
      </c>
      <c r="D376" s="1">
        <v>34609</v>
      </c>
      <c r="E376" t="str">
        <f>IF(ISBLANK(G376),"Çalışıyor","Ayrıldı")</f>
        <v>Ayrıldı</v>
      </c>
      <c r="F376" t="str">
        <f t="shared" ca="1" si="5"/>
        <v>23 Yıl - 8 Ay - 9 Gün</v>
      </c>
      <c r="G376" s="1">
        <v>43262</v>
      </c>
      <c r="H376" s="1"/>
    </row>
    <row r="377" spans="1:8" x14ac:dyDescent="0.45">
      <c r="A377">
        <v>2763</v>
      </c>
      <c r="B377" t="s">
        <v>220</v>
      </c>
      <c r="C377" t="s">
        <v>474</v>
      </c>
      <c r="D377" s="1">
        <v>34517</v>
      </c>
      <c r="E377" t="str">
        <f>IF(ISBLANK(G377),"Çalışıyor","Ayrıldı")</f>
        <v>Çalışıyor</v>
      </c>
      <c r="F377" t="str">
        <f t="shared" ca="1" si="5"/>
        <v>25 Yıl - 1 Ay - 29 Gün</v>
      </c>
      <c r="G377" s="1"/>
      <c r="H377" s="1"/>
    </row>
    <row r="378" spans="1:8" x14ac:dyDescent="0.45">
      <c r="A378">
        <v>4144</v>
      </c>
      <c r="B378" t="s">
        <v>36</v>
      </c>
      <c r="C378" t="s">
        <v>472</v>
      </c>
      <c r="D378" s="1">
        <v>32715</v>
      </c>
      <c r="E378" t="str">
        <f>IF(ISBLANK(G378),"Çalışıyor","Ayrıldı")</f>
        <v>Çalışıyor</v>
      </c>
      <c r="F378" t="str">
        <f t="shared" ca="1" si="5"/>
        <v>30 Yıl - 1 Ay - 5 Gün</v>
      </c>
      <c r="G378" s="1"/>
      <c r="H378" s="1"/>
    </row>
    <row r="379" spans="1:8" x14ac:dyDescent="0.45">
      <c r="A379">
        <v>2361</v>
      </c>
      <c r="B379" t="s">
        <v>237</v>
      </c>
      <c r="C379" t="s">
        <v>467</v>
      </c>
      <c r="D379" s="1">
        <v>39555</v>
      </c>
      <c r="E379" t="str">
        <f>IF(ISBLANK(G379),"Çalışıyor","Ayrıldı")</f>
        <v>Çalışıyor</v>
      </c>
      <c r="F379" t="str">
        <f t="shared" ca="1" si="5"/>
        <v>11 Yıl - 4 Ay - 14 Gün</v>
      </c>
      <c r="G379" s="1"/>
      <c r="H379" s="1"/>
    </row>
    <row r="380" spans="1:8" x14ac:dyDescent="0.45">
      <c r="A380">
        <v>2690</v>
      </c>
      <c r="B380" t="s">
        <v>339</v>
      </c>
      <c r="C380" t="s">
        <v>470</v>
      </c>
      <c r="D380" s="1">
        <v>32913</v>
      </c>
      <c r="E380" t="str">
        <f>IF(ISBLANK(G380),"Çalışıyor","Ayrıldı")</f>
        <v>Çalışıyor</v>
      </c>
      <c r="F380" t="str">
        <f t="shared" ca="1" si="5"/>
        <v>29 Yıl - 6 Ay - 22 Gün</v>
      </c>
      <c r="G380" s="1"/>
      <c r="H380" s="1"/>
    </row>
    <row r="381" spans="1:8" x14ac:dyDescent="0.45">
      <c r="A381">
        <v>3542</v>
      </c>
      <c r="B381" t="s">
        <v>336</v>
      </c>
      <c r="C381" t="s">
        <v>467</v>
      </c>
      <c r="D381" s="1">
        <v>40340</v>
      </c>
      <c r="E381" t="str">
        <f>IF(ISBLANK(G381),"Çalışıyor","Ayrıldı")</f>
        <v>Çalışıyor</v>
      </c>
      <c r="F381" t="str">
        <f t="shared" ca="1" si="5"/>
        <v>9 Yıl - 2 Ay - 20 Gün</v>
      </c>
      <c r="G381" s="1"/>
      <c r="H381" s="1"/>
    </row>
    <row r="382" spans="1:8" x14ac:dyDescent="0.45">
      <c r="A382">
        <v>4281</v>
      </c>
      <c r="B382" t="s">
        <v>108</v>
      </c>
      <c r="C382" t="s">
        <v>462</v>
      </c>
      <c r="D382" s="1">
        <v>35948</v>
      </c>
      <c r="E382" t="str">
        <f>IF(ISBLANK(G382),"Çalışıyor","Ayrıldı")</f>
        <v>Çalışıyor</v>
      </c>
      <c r="F382" t="str">
        <f t="shared" ca="1" si="5"/>
        <v>21 Yıl - 2 Ay - 29 Gün</v>
      </c>
      <c r="G382" s="1"/>
      <c r="H382" s="1"/>
    </row>
    <row r="383" spans="1:8" x14ac:dyDescent="0.45">
      <c r="A383">
        <v>4238</v>
      </c>
      <c r="B383" t="s">
        <v>216</v>
      </c>
      <c r="C383" t="s">
        <v>421</v>
      </c>
      <c r="D383" s="1">
        <v>42176</v>
      </c>
      <c r="E383" t="str">
        <f>IF(ISBLANK(G383),"Çalışıyor","Ayrıldı")</f>
        <v>Çalışıyor</v>
      </c>
      <c r="F383" t="str">
        <f t="shared" ca="1" si="5"/>
        <v>4 Yıl - 2 Ay - 10 Gün</v>
      </c>
      <c r="G383" s="1"/>
      <c r="H383" s="1"/>
    </row>
    <row r="384" spans="1:8" x14ac:dyDescent="0.45">
      <c r="A384">
        <v>3806</v>
      </c>
      <c r="B384" t="s">
        <v>128</v>
      </c>
      <c r="C384" t="s">
        <v>422</v>
      </c>
      <c r="D384" s="1">
        <v>36420</v>
      </c>
      <c r="E384" t="str">
        <f>IF(ISBLANK(G384),"Çalışıyor","Ayrıldı")</f>
        <v>Ayrıldı</v>
      </c>
      <c r="F384" t="str">
        <f t="shared" ca="1" si="5"/>
        <v>18 Yıl - 8 Ay - 24 Gün</v>
      </c>
      <c r="G384" s="1">
        <v>43262</v>
      </c>
      <c r="H384" s="1"/>
    </row>
    <row r="385" spans="1:8" x14ac:dyDescent="0.45">
      <c r="A385">
        <v>2746</v>
      </c>
      <c r="B385" t="s">
        <v>144</v>
      </c>
      <c r="C385" t="s">
        <v>482</v>
      </c>
      <c r="D385" s="1">
        <v>41572</v>
      </c>
      <c r="E385" t="str">
        <f>IF(ISBLANK(G385),"Çalışıyor","Ayrıldı")</f>
        <v>Çalışıyor</v>
      </c>
      <c r="F385" t="str">
        <f t="shared" ca="1" si="5"/>
        <v>5 Yıl - 10 Ay - 6 Gün</v>
      </c>
      <c r="G385" s="1"/>
      <c r="H385" s="1"/>
    </row>
    <row r="386" spans="1:8" x14ac:dyDescent="0.45">
      <c r="A386">
        <v>3071</v>
      </c>
      <c r="B386" t="s">
        <v>157</v>
      </c>
      <c r="C386" t="s">
        <v>460</v>
      </c>
      <c r="D386" s="1">
        <v>40818</v>
      </c>
      <c r="E386" t="str">
        <f>IF(ISBLANK(G386),"Çalışıyor","Ayrıldı")</f>
        <v>Çalışıyor</v>
      </c>
      <c r="F386" t="str">
        <f t="shared" ca="1" si="5"/>
        <v>7 Yıl - 10 Ay - 29 Gün</v>
      </c>
      <c r="G386" s="1"/>
      <c r="H386" s="1"/>
    </row>
    <row r="387" spans="1:8" x14ac:dyDescent="0.45">
      <c r="A387">
        <v>2161</v>
      </c>
      <c r="B387" t="s">
        <v>175</v>
      </c>
      <c r="C387" t="s">
        <v>477</v>
      </c>
      <c r="D387" s="1">
        <v>41254</v>
      </c>
      <c r="E387" t="str">
        <f>IF(ISBLANK(G387),"Çalışıyor","Ayrıldı")</f>
        <v>Çalışıyor</v>
      </c>
      <c r="F387" t="str">
        <f t="shared" ref="F387:F416" ca="1" si="6">IF(ISBLANK(G387),INT(DAYS360(D387,TODAY(),0)/360)&amp;" Yıl - "&amp;INT(MOD(DAYS360(D387,TODAY(),0),360)/30)&amp;" Ay - "&amp;MOD(MOD(DAYS360(D387,TODAY(),0),360),30)&amp;" Gün",INT(DAYS360(D387,G387,0)/360)&amp;" Yıl - "&amp;INT(MOD(DAYS360(D387,G387,0),360)/30)&amp;" Ay - "&amp;MOD(MOD(DAYS360(D387,G387,0),360),30)&amp;" Gün")</f>
        <v>6 Yıl - 8 Ay - 20 Gün</v>
      </c>
      <c r="G387" s="1"/>
      <c r="H387" s="1"/>
    </row>
    <row r="388" spans="1:8" x14ac:dyDescent="0.45">
      <c r="A388">
        <v>2061</v>
      </c>
      <c r="B388" t="s">
        <v>276</v>
      </c>
      <c r="C388" t="s">
        <v>418</v>
      </c>
      <c r="D388" s="1">
        <v>39355</v>
      </c>
      <c r="E388" t="str">
        <f>IF(ISBLANK(G388),"Çalışıyor","Ayrıldı")</f>
        <v>Ayrıldı</v>
      </c>
      <c r="F388" t="str">
        <f t="shared" ca="1" si="6"/>
        <v>10 Yıl - 8 Ay - 11 Gün</v>
      </c>
      <c r="G388" s="1">
        <v>43262</v>
      </c>
      <c r="H388" s="1"/>
    </row>
    <row r="389" spans="1:8" x14ac:dyDescent="0.45">
      <c r="A389">
        <v>4063</v>
      </c>
      <c r="B389" t="s">
        <v>51</v>
      </c>
      <c r="C389" t="s">
        <v>418</v>
      </c>
      <c r="D389" s="1">
        <v>41258</v>
      </c>
      <c r="E389" t="str">
        <f>IF(ISBLANK(G389),"Çalışıyor","Ayrıldı")</f>
        <v>Çalışıyor</v>
      </c>
      <c r="F389" t="str">
        <f t="shared" ca="1" si="6"/>
        <v>6 Yıl - 8 Ay - 16 Gün</v>
      </c>
      <c r="G389" s="1"/>
      <c r="H389" s="1"/>
    </row>
    <row r="390" spans="1:8" x14ac:dyDescent="0.45">
      <c r="A390">
        <v>2629</v>
      </c>
      <c r="B390" t="s">
        <v>301</v>
      </c>
      <c r="C390" t="s">
        <v>460</v>
      </c>
      <c r="D390" s="1">
        <v>35502</v>
      </c>
      <c r="E390" t="str">
        <f>IF(ISBLANK(G390),"Çalışıyor","Ayrıldı")</f>
        <v>Çalışıyor</v>
      </c>
      <c r="F390" t="str">
        <f t="shared" ca="1" si="6"/>
        <v>22 Yıl - 5 Ay - 18 Gün</v>
      </c>
      <c r="G390" s="1"/>
      <c r="H390" s="1"/>
    </row>
    <row r="391" spans="1:8" x14ac:dyDescent="0.45">
      <c r="A391">
        <v>2278</v>
      </c>
      <c r="B391" t="s">
        <v>250</v>
      </c>
      <c r="C391" t="s">
        <v>479</v>
      </c>
      <c r="D391" s="1">
        <v>36616</v>
      </c>
      <c r="E391" t="str">
        <f>IF(ISBLANK(G391),"Çalışıyor","Ayrıldı")</f>
        <v>Çalışıyor</v>
      </c>
      <c r="F391" t="str">
        <f t="shared" ca="1" si="6"/>
        <v>19 Yıl - 5 Ay - 0 Gün</v>
      </c>
      <c r="G391" s="1"/>
      <c r="H391" s="1"/>
    </row>
    <row r="392" spans="1:8" x14ac:dyDescent="0.45">
      <c r="A392">
        <v>2157</v>
      </c>
      <c r="B392" t="s">
        <v>186</v>
      </c>
      <c r="C392" t="s">
        <v>469</v>
      </c>
      <c r="D392" s="1">
        <v>35982</v>
      </c>
      <c r="E392" t="str">
        <f>IF(ISBLANK(G392),"Çalışıyor","Ayrıldı")</f>
        <v>Çalışıyor</v>
      </c>
      <c r="F392" t="str">
        <f t="shared" ca="1" si="6"/>
        <v>21 Yıl - 1 Ay - 25 Gün</v>
      </c>
      <c r="G392" s="1"/>
      <c r="H392" s="1"/>
    </row>
    <row r="393" spans="1:8" x14ac:dyDescent="0.45">
      <c r="A393">
        <v>3385</v>
      </c>
      <c r="B393" t="s">
        <v>286</v>
      </c>
      <c r="C393" t="s">
        <v>481</v>
      </c>
      <c r="D393" s="1">
        <v>42967</v>
      </c>
      <c r="E393" t="str">
        <f>IF(ISBLANK(G393),"Çalışıyor","Ayrıldı")</f>
        <v>Çalışıyor</v>
      </c>
      <c r="F393" t="str">
        <f t="shared" ca="1" si="6"/>
        <v>2 Yıl - 0 Ay - 11 Gün</v>
      </c>
      <c r="G393" s="1"/>
      <c r="H393" s="1"/>
    </row>
    <row r="394" spans="1:8" x14ac:dyDescent="0.45">
      <c r="A394">
        <v>4286</v>
      </c>
      <c r="B394" t="s">
        <v>372</v>
      </c>
      <c r="C394" t="s">
        <v>471</v>
      </c>
      <c r="D394" s="1">
        <v>37188</v>
      </c>
      <c r="E394" t="str">
        <f>IF(ISBLANK(G394),"Çalışıyor","Ayrıldı")</f>
        <v>Çalışıyor</v>
      </c>
      <c r="F394" t="str">
        <f t="shared" ca="1" si="6"/>
        <v>17 Yıl - 10 Ay - 7 Gün</v>
      </c>
      <c r="G394" s="1"/>
      <c r="H394" s="1"/>
    </row>
    <row r="395" spans="1:8" x14ac:dyDescent="0.45">
      <c r="A395">
        <v>4469</v>
      </c>
      <c r="B395" t="s">
        <v>89</v>
      </c>
      <c r="C395" t="s">
        <v>476</v>
      </c>
      <c r="D395" s="1">
        <v>32777</v>
      </c>
      <c r="E395" t="str">
        <f>IF(ISBLANK(G395),"Çalışıyor","Ayrıldı")</f>
        <v>Çalışıyor</v>
      </c>
      <c r="F395" t="str">
        <f t="shared" ca="1" si="6"/>
        <v>29 Yıl - 11 Ay - 5 Gün</v>
      </c>
      <c r="G395" s="1"/>
      <c r="H395" s="1"/>
    </row>
    <row r="396" spans="1:8" x14ac:dyDescent="0.45">
      <c r="A396">
        <v>4156</v>
      </c>
      <c r="B396" t="s">
        <v>314</v>
      </c>
      <c r="C396" t="s">
        <v>460</v>
      </c>
      <c r="D396" s="1">
        <v>40723</v>
      </c>
      <c r="E396" t="str">
        <f>IF(ISBLANK(G396),"Çalışıyor","Ayrıldı")</f>
        <v>Çalışıyor</v>
      </c>
      <c r="F396" t="str">
        <f t="shared" ca="1" si="6"/>
        <v>8 Yıl - 2 Ay - 2 Gün</v>
      </c>
      <c r="G396" s="1"/>
      <c r="H396" s="1"/>
    </row>
    <row r="397" spans="1:8" x14ac:dyDescent="0.45">
      <c r="A397">
        <v>3000</v>
      </c>
      <c r="B397" t="s">
        <v>37</v>
      </c>
      <c r="C397" t="s">
        <v>473</v>
      </c>
      <c r="D397" s="1">
        <v>39212</v>
      </c>
      <c r="E397" t="str">
        <f>IF(ISBLANK(G397),"Çalışıyor","Ayrıldı")</f>
        <v>Çalışıyor</v>
      </c>
      <c r="F397" t="str">
        <f t="shared" ca="1" si="6"/>
        <v>12 Yıl - 3 Ay - 21 Gün</v>
      </c>
      <c r="G397" s="1"/>
      <c r="H397" s="1"/>
    </row>
    <row r="398" spans="1:8" x14ac:dyDescent="0.45">
      <c r="A398">
        <v>2163</v>
      </c>
      <c r="B398" t="s">
        <v>342</v>
      </c>
      <c r="C398" t="s">
        <v>420</v>
      </c>
      <c r="D398" s="1">
        <v>35817</v>
      </c>
      <c r="E398" t="str">
        <f>IF(ISBLANK(G398),"Çalışıyor","Ayrıldı")</f>
        <v>Çalışıyor</v>
      </c>
      <c r="F398" t="str">
        <f t="shared" ca="1" si="6"/>
        <v>21 Yıl - 7 Ay - 9 Gün</v>
      </c>
      <c r="G398" s="1"/>
      <c r="H398" s="1"/>
    </row>
    <row r="399" spans="1:8" x14ac:dyDescent="0.45">
      <c r="A399">
        <v>3545</v>
      </c>
      <c r="B399" t="s">
        <v>192</v>
      </c>
      <c r="C399" t="s">
        <v>461</v>
      </c>
      <c r="D399" s="1">
        <v>36958</v>
      </c>
      <c r="E399" t="str">
        <f>IF(ISBLANK(G399),"Çalışıyor","Ayrıldı")</f>
        <v>Ayrıldı</v>
      </c>
      <c r="F399" t="str">
        <f t="shared" ca="1" si="6"/>
        <v>17 Yıl - 3 Ay - 3 Gün</v>
      </c>
      <c r="G399" s="1">
        <v>43262</v>
      </c>
      <c r="H399" s="1"/>
    </row>
    <row r="400" spans="1:8" x14ac:dyDescent="0.45">
      <c r="A400">
        <v>3102</v>
      </c>
      <c r="B400" t="s">
        <v>361</v>
      </c>
      <c r="C400" t="s">
        <v>468</v>
      </c>
      <c r="D400" s="1">
        <v>37319</v>
      </c>
      <c r="E400" t="str">
        <f>IF(ISBLANK(G400),"Çalışıyor","Ayrıldı")</f>
        <v>Çalışıyor</v>
      </c>
      <c r="F400" t="str">
        <f t="shared" ca="1" si="6"/>
        <v>17 Yıl - 5 Ay - 27 Gün</v>
      </c>
      <c r="G400" s="1"/>
      <c r="H400" s="1"/>
    </row>
    <row r="401" spans="1:8" x14ac:dyDescent="0.45">
      <c r="A401">
        <v>3295</v>
      </c>
      <c r="B401" t="s">
        <v>260</v>
      </c>
      <c r="C401" t="s">
        <v>464</v>
      </c>
      <c r="D401" s="1">
        <v>35028</v>
      </c>
      <c r="E401" t="str">
        <f>IF(ISBLANK(G401),"Çalışıyor","Ayrıldı")</f>
        <v>Çalışıyor</v>
      </c>
      <c r="F401" t="str">
        <f t="shared" ca="1" si="6"/>
        <v>23 Yıl - 9 Ay - 6 Gün</v>
      </c>
      <c r="G401" s="1"/>
      <c r="H401" s="1"/>
    </row>
    <row r="402" spans="1:8" x14ac:dyDescent="0.45">
      <c r="A402">
        <v>3266</v>
      </c>
      <c r="B402" t="s">
        <v>399</v>
      </c>
      <c r="C402" t="s">
        <v>474</v>
      </c>
      <c r="D402" s="1">
        <v>40256</v>
      </c>
      <c r="E402" t="str">
        <f>IF(ISBLANK(G402),"Çalışıyor","Ayrıldı")</f>
        <v>Çalışıyor</v>
      </c>
      <c r="F402" t="str">
        <f t="shared" ca="1" si="6"/>
        <v>9 Yıl - 5 Ay - 12 Gün</v>
      </c>
      <c r="G402" s="1"/>
      <c r="H402" s="1"/>
    </row>
    <row r="403" spans="1:8" x14ac:dyDescent="0.45">
      <c r="A403">
        <v>4256</v>
      </c>
      <c r="B403" t="s">
        <v>293</v>
      </c>
      <c r="C403" t="s">
        <v>472</v>
      </c>
      <c r="D403" s="1">
        <v>35802</v>
      </c>
      <c r="E403" t="str">
        <f>IF(ISBLANK(G403),"Çalışıyor","Ayrıldı")</f>
        <v>Çalışıyor</v>
      </c>
      <c r="F403" t="str">
        <f t="shared" ca="1" si="6"/>
        <v>21 Yıl - 7 Ay - 24 Gün</v>
      </c>
      <c r="G403" s="1"/>
      <c r="H403" s="1"/>
    </row>
    <row r="404" spans="1:8" x14ac:dyDescent="0.45">
      <c r="A404">
        <v>4442</v>
      </c>
      <c r="B404" t="s">
        <v>375</v>
      </c>
      <c r="C404" t="s">
        <v>478</v>
      </c>
      <c r="D404" s="1">
        <v>35963</v>
      </c>
      <c r="E404" t="str">
        <f>IF(ISBLANK(G404),"Çalışıyor","Ayrıldı")</f>
        <v>Ayrıldı</v>
      </c>
      <c r="F404" t="str">
        <f t="shared" ca="1" si="6"/>
        <v>19 Yıl - 11 Ay - 24 Gün</v>
      </c>
      <c r="G404" s="1">
        <v>43262</v>
      </c>
      <c r="H404" s="1"/>
    </row>
    <row r="405" spans="1:8" x14ac:dyDescent="0.45">
      <c r="A405">
        <v>2803</v>
      </c>
      <c r="B405" t="s">
        <v>355</v>
      </c>
      <c r="C405" t="s">
        <v>422</v>
      </c>
      <c r="D405" s="1">
        <v>33090</v>
      </c>
      <c r="E405" t="str">
        <f>IF(ISBLANK(G405),"Çalışıyor","Ayrıldı")</f>
        <v>Çalışıyor</v>
      </c>
      <c r="F405" t="str">
        <f t="shared" ca="1" si="6"/>
        <v>29 Yıl - 0 Ay - 26 Gün</v>
      </c>
      <c r="G405" s="1"/>
      <c r="H405" s="1"/>
    </row>
    <row r="406" spans="1:8" x14ac:dyDescent="0.45">
      <c r="A406">
        <v>2599</v>
      </c>
      <c r="B406" t="s">
        <v>59</v>
      </c>
      <c r="C406" t="s">
        <v>463</v>
      </c>
      <c r="D406" s="1">
        <v>35504</v>
      </c>
      <c r="E406" t="str">
        <f>IF(ISBLANK(G406),"Çalışıyor","Ayrıldı")</f>
        <v>Çalışıyor</v>
      </c>
      <c r="F406" t="str">
        <f t="shared" ca="1" si="6"/>
        <v>22 Yıl - 5 Ay - 16 Gün</v>
      </c>
      <c r="G406" s="1"/>
      <c r="H406" s="1"/>
    </row>
    <row r="407" spans="1:8" x14ac:dyDescent="0.45">
      <c r="A407">
        <v>3761</v>
      </c>
      <c r="B407" t="s">
        <v>134</v>
      </c>
      <c r="C407" t="s">
        <v>473</v>
      </c>
      <c r="D407" s="1">
        <v>40697</v>
      </c>
      <c r="E407" t="str">
        <f>IF(ISBLANK(G407),"Çalışıyor","Ayrıldı")</f>
        <v>Ayrıldı</v>
      </c>
      <c r="F407" t="str">
        <f t="shared" ca="1" si="6"/>
        <v>7 Yıl - 0 Ay - 8 Gün</v>
      </c>
      <c r="G407" s="1">
        <v>43262</v>
      </c>
      <c r="H407" s="1"/>
    </row>
    <row r="408" spans="1:8" x14ac:dyDescent="0.45">
      <c r="A408">
        <v>3881</v>
      </c>
      <c r="B408" t="s">
        <v>225</v>
      </c>
      <c r="C408" t="s">
        <v>482</v>
      </c>
      <c r="D408" s="1">
        <v>32950</v>
      </c>
      <c r="E408" t="str">
        <f>IF(ISBLANK(G408),"Çalışıyor","Ayrıldı")</f>
        <v>Çalışıyor</v>
      </c>
      <c r="F408" t="str">
        <f t="shared" ca="1" si="6"/>
        <v>29 Yıl - 5 Ay - 13 Gün</v>
      </c>
      <c r="G408" s="1"/>
      <c r="H408" s="1"/>
    </row>
    <row r="409" spans="1:8" x14ac:dyDescent="0.45">
      <c r="A409">
        <v>3830</v>
      </c>
      <c r="B409" t="s">
        <v>382</v>
      </c>
      <c r="C409" t="s">
        <v>482</v>
      </c>
      <c r="D409" s="1">
        <v>37194</v>
      </c>
      <c r="E409" t="str">
        <f>IF(ISBLANK(G409),"Çalışıyor","Ayrıldı")</f>
        <v>Çalışıyor</v>
      </c>
      <c r="F409" t="str">
        <f t="shared" ca="1" si="6"/>
        <v>17 Yıl - 10 Ay - 0 Gün</v>
      </c>
      <c r="G409" s="1"/>
      <c r="H409" s="1"/>
    </row>
    <row r="410" spans="1:8" x14ac:dyDescent="0.45">
      <c r="A410">
        <v>3576</v>
      </c>
      <c r="B410" t="s">
        <v>41</v>
      </c>
      <c r="C410" t="s">
        <v>469</v>
      </c>
      <c r="D410" s="1">
        <v>38826</v>
      </c>
      <c r="E410" t="str">
        <f>IF(ISBLANK(G410),"Çalışıyor","Ayrıldı")</f>
        <v>Ayrıldı</v>
      </c>
      <c r="F410" t="str">
        <f t="shared" ca="1" si="6"/>
        <v>12 Yıl - 1 Ay - 22 Gün</v>
      </c>
      <c r="G410" s="1">
        <v>43262</v>
      </c>
      <c r="H410" s="1"/>
    </row>
    <row r="411" spans="1:8" x14ac:dyDescent="0.45">
      <c r="A411">
        <v>2138</v>
      </c>
      <c r="B411" t="s">
        <v>402</v>
      </c>
      <c r="C411" t="s">
        <v>482</v>
      </c>
      <c r="D411" s="1">
        <v>38596</v>
      </c>
      <c r="E411" t="str">
        <f>IF(ISBLANK(G411),"Çalışıyor","Ayrıldı")</f>
        <v>Ayrıldı</v>
      </c>
      <c r="F411" t="str">
        <f t="shared" ca="1" si="6"/>
        <v>12 Yıl - 9 Ay - 10 Gün</v>
      </c>
      <c r="G411" s="1">
        <v>43262</v>
      </c>
      <c r="H411" s="1"/>
    </row>
    <row r="412" spans="1:8" x14ac:dyDescent="0.45">
      <c r="A412">
        <v>3373</v>
      </c>
      <c r="B412" t="s">
        <v>107</v>
      </c>
      <c r="C412" t="s">
        <v>465</v>
      </c>
      <c r="D412" s="1">
        <v>34581</v>
      </c>
      <c r="E412" t="str">
        <f>IF(ISBLANK(G412),"Çalışıyor","Ayrıldı")</f>
        <v>Çalışıyor</v>
      </c>
      <c r="F412" t="str">
        <f t="shared" ca="1" si="6"/>
        <v>24 Yıl - 11 Ay - 27 Gün</v>
      </c>
      <c r="G412" s="1"/>
      <c r="H412" s="1"/>
    </row>
    <row r="413" spans="1:8" x14ac:dyDescent="0.45">
      <c r="A413">
        <v>3912</v>
      </c>
      <c r="B413" t="s">
        <v>273</v>
      </c>
      <c r="C413" t="s">
        <v>477</v>
      </c>
      <c r="D413" s="1">
        <v>33868</v>
      </c>
      <c r="E413" t="str">
        <f>IF(ISBLANK(G413),"Çalışıyor","Ayrıldı")</f>
        <v>Çalışıyor</v>
      </c>
      <c r="F413" t="str">
        <f t="shared" ca="1" si="6"/>
        <v>26 Yıl - 11 Ay - 10 Gün</v>
      </c>
      <c r="G413" s="1"/>
      <c r="H413" s="1"/>
    </row>
    <row r="414" spans="1:8" x14ac:dyDescent="0.45">
      <c r="A414">
        <v>2858</v>
      </c>
      <c r="B414" t="s">
        <v>116</v>
      </c>
      <c r="C414" t="s">
        <v>480</v>
      </c>
      <c r="D414" s="1">
        <v>34046</v>
      </c>
      <c r="E414" t="str">
        <f>IF(ISBLANK(G414),"Çalışıyor","Ayrıldı")</f>
        <v>Ayrıldı</v>
      </c>
      <c r="F414" t="str">
        <f t="shared" ca="1" si="6"/>
        <v>25 Yıl - 2 Ay - 23 Gün</v>
      </c>
      <c r="G414" s="1">
        <v>43262</v>
      </c>
      <c r="H414" s="1"/>
    </row>
    <row r="415" spans="1:8" x14ac:dyDescent="0.45">
      <c r="A415">
        <v>2485</v>
      </c>
      <c r="B415" t="s">
        <v>263</v>
      </c>
      <c r="C415" t="s">
        <v>473</v>
      </c>
      <c r="D415" s="1">
        <v>34265</v>
      </c>
      <c r="E415" t="str">
        <f>IF(ISBLANK(G415),"Çalışıyor","Ayrıldı")</f>
        <v>Ayrıldı</v>
      </c>
      <c r="F415" t="str">
        <f t="shared" ca="1" si="6"/>
        <v>24 Yıl - 7 Ay - 18 Gün</v>
      </c>
      <c r="G415" s="1">
        <v>43262</v>
      </c>
      <c r="H415" s="1"/>
    </row>
    <row r="416" spans="1:8" x14ac:dyDescent="0.45">
      <c r="A416">
        <v>2750</v>
      </c>
      <c r="B416" t="s">
        <v>149</v>
      </c>
      <c r="C416" t="s">
        <v>471</v>
      </c>
      <c r="D416" s="1">
        <v>39609</v>
      </c>
      <c r="E416" t="str">
        <f>IF(ISBLANK(G416),"Çalışıyor","Ayrıldı")</f>
        <v>Çalışıyor</v>
      </c>
      <c r="F416" t="str">
        <f t="shared" ca="1" si="6"/>
        <v>11 Yıl - 2 Ay - 21 Gün</v>
      </c>
      <c r="G416" s="1"/>
      <c r="H416" s="1"/>
    </row>
  </sheetData>
  <autoFilter ref="A1:I416" xr:uid="{D7286DF2-05AD-433E-A06B-A3C4FEB2CAD6}"/>
  <sortState xmlns:xlrd2="http://schemas.microsoft.com/office/spreadsheetml/2017/richdata2" ref="A2:I416">
    <sortCondition ref="B2"/>
  </sortState>
  <dataValidations count="1">
    <dataValidation type="whole" allowBlank="1" showInputMessage="1" showErrorMessage="1" sqref="H2:H416" xr:uid="{038F3398-CFE4-4AD0-8102-FD3B63243EE3}">
      <formula1>1</formula1>
      <formula2>34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264F6-96D2-4634-B8B4-9D7188A1E7D8}">
  <dimension ref="A1:A33"/>
  <sheetViews>
    <sheetView workbookViewId="0">
      <selection activeCell="A18" sqref="A18"/>
    </sheetView>
  </sheetViews>
  <sheetFormatPr defaultRowHeight="14.25" x14ac:dyDescent="0.45"/>
  <cols>
    <col min="1" max="1" width="38.06640625" style="4" customWidth="1"/>
    <col min="2" max="2" width="24" style="4" customWidth="1"/>
    <col min="3" max="16384" width="9.06640625" style="4"/>
  </cols>
  <sheetData>
    <row r="1" spans="1:1" x14ac:dyDescent="0.45">
      <c r="A1" s="4" t="s">
        <v>457</v>
      </c>
    </row>
    <row r="2" spans="1:1" x14ac:dyDescent="0.45">
      <c r="A2" s="3" t="s">
        <v>425</v>
      </c>
    </row>
    <row r="3" spans="1:1" x14ac:dyDescent="0.45">
      <c r="A3" s="3" t="s">
        <v>426</v>
      </c>
    </row>
    <row r="4" spans="1:1" x14ac:dyDescent="0.45">
      <c r="A4" s="3" t="s">
        <v>427</v>
      </c>
    </row>
    <row r="5" spans="1:1" x14ac:dyDescent="0.45">
      <c r="A5" s="3" t="s">
        <v>428</v>
      </c>
    </row>
    <row r="6" spans="1:1" x14ac:dyDescent="0.45">
      <c r="A6" s="3" t="s">
        <v>429</v>
      </c>
    </row>
    <row r="7" spans="1:1" x14ac:dyDescent="0.45">
      <c r="A7" s="3" t="s">
        <v>430</v>
      </c>
    </row>
    <row r="8" spans="1:1" x14ac:dyDescent="0.45">
      <c r="A8" s="3" t="s">
        <v>431</v>
      </c>
    </row>
    <row r="9" spans="1:1" x14ac:dyDescent="0.45">
      <c r="A9" s="3" t="s">
        <v>432</v>
      </c>
    </row>
    <row r="10" spans="1:1" x14ac:dyDescent="0.45">
      <c r="A10" s="3" t="s">
        <v>433</v>
      </c>
    </row>
    <row r="11" spans="1:1" x14ac:dyDescent="0.45">
      <c r="A11" s="3" t="s">
        <v>434</v>
      </c>
    </row>
    <row r="12" spans="1:1" x14ac:dyDescent="0.45">
      <c r="A12" s="3" t="s">
        <v>435</v>
      </c>
    </row>
    <row r="13" spans="1:1" x14ac:dyDescent="0.45">
      <c r="A13" s="3" t="s">
        <v>436</v>
      </c>
    </row>
    <row r="14" spans="1:1" x14ac:dyDescent="0.45">
      <c r="A14" s="3" t="s">
        <v>437</v>
      </c>
    </row>
    <row r="15" spans="1:1" x14ac:dyDescent="0.45">
      <c r="A15" s="3" t="s">
        <v>438</v>
      </c>
    </row>
    <row r="16" spans="1:1" x14ac:dyDescent="0.45">
      <c r="A16" s="3" t="s">
        <v>439</v>
      </c>
    </row>
    <row r="17" spans="1:1" x14ac:dyDescent="0.45">
      <c r="A17" s="3" t="s">
        <v>440</v>
      </c>
    </row>
    <row r="18" spans="1:1" x14ac:dyDescent="0.45">
      <c r="A18" s="3" t="s">
        <v>441</v>
      </c>
    </row>
    <row r="19" spans="1:1" x14ac:dyDescent="0.45">
      <c r="A19" s="3" t="s">
        <v>442</v>
      </c>
    </row>
    <row r="20" spans="1:1" x14ac:dyDescent="0.45">
      <c r="A20" s="3" t="s">
        <v>443</v>
      </c>
    </row>
    <row r="21" spans="1:1" x14ac:dyDescent="0.45">
      <c r="A21" s="3" t="s">
        <v>444</v>
      </c>
    </row>
    <row r="22" spans="1:1" x14ac:dyDescent="0.45">
      <c r="A22" s="3" t="s">
        <v>445</v>
      </c>
    </row>
    <row r="23" spans="1:1" x14ac:dyDescent="0.45">
      <c r="A23" s="3" t="s">
        <v>446</v>
      </c>
    </row>
    <row r="24" spans="1:1" x14ac:dyDescent="0.45">
      <c r="A24" s="3" t="s">
        <v>447</v>
      </c>
    </row>
    <row r="25" spans="1:1" x14ac:dyDescent="0.45">
      <c r="A25" s="3" t="s">
        <v>448</v>
      </c>
    </row>
    <row r="26" spans="1:1" x14ac:dyDescent="0.45">
      <c r="A26" s="3" t="s">
        <v>449</v>
      </c>
    </row>
    <row r="27" spans="1:1" x14ac:dyDescent="0.45">
      <c r="A27" s="3" t="s">
        <v>450</v>
      </c>
    </row>
    <row r="28" spans="1:1" x14ac:dyDescent="0.45">
      <c r="A28" s="3" t="s">
        <v>451</v>
      </c>
    </row>
    <row r="29" spans="1:1" x14ac:dyDescent="0.45">
      <c r="A29" s="3" t="s">
        <v>452</v>
      </c>
    </row>
    <row r="30" spans="1:1" x14ac:dyDescent="0.45">
      <c r="A30" s="3" t="s">
        <v>453</v>
      </c>
    </row>
    <row r="31" spans="1:1" x14ac:dyDescent="0.45">
      <c r="A31" s="3" t="s">
        <v>454</v>
      </c>
    </row>
    <row r="32" spans="1:1" x14ac:dyDescent="0.45">
      <c r="A32" s="3" t="s">
        <v>455</v>
      </c>
    </row>
    <row r="33" spans="1:1" x14ac:dyDescent="0.45">
      <c r="A33" s="3" t="s">
        <v>456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Güncel Personel Listesi</vt:lpstr>
      <vt:lpstr>Ayrılanlar</vt:lpstr>
      <vt:lpstr>Personel Listesi</vt:lpstr>
      <vt:lpstr>SGK Kodları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Kullanıcısı</dc:creator>
  <cp:lastModifiedBy>Windows Kullanıcısı</cp:lastModifiedBy>
  <dcterms:created xsi:type="dcterms:W3CDTF">2018-06-11T16:59:50Z</dcterms:created>
  <dcterms:modified xsi:type="dcterms:W3CDTF">2019-08-31T06:08:11Z</dcterms:modified>
</cp:coreProperties>
</file>