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53222"/>
  <mc:AlternateContent xmlns:mc="http://schemas.openxmlformats.org/markup-compatibility/2006">
    <mc:Choice Requires="x15">
      <x15ac:absPath xmlns:x15ac="http://schemas.microsoft.com/office/spreadsheetml/2010/11/ac" url="C:\Users\Ömer\Desktop\Excel Eğitimi\"/>
    </mc:Choice>
  </mc:AlternateContent>
  <bookViews>
    <workbookView xWindow="0" yWindow="0" windowWidth="19200" windowHeight="8250" activeTab="1"/>
  </bookViews>
  <sheets>
    <sheet name="Hedef Ara" sheetId="2" r:id="rId1"/>
    <sheet name="Çözücü" sheetId="1" r:id="rId2"/>
  </sheets>
  <definedNames>
    <definedName name="solver_cvg" localSheetId="1" hidden="1">0.0001</definedName>
    <definedName name="solver_drv" localSheetId="1" hidden="1">2</definedName>
    <definedName name="solver_eng" localSheetId="1" hidden="1">1</definedName>
    <definedName name="solver_est" localSheetId="1" hidden="1">1</definedName>
    <definedName name="solver_itr" localSheetId="1" hidden="1">2147483647</definedName>
    <definedName name="solver_lhs1" localSheetId="1" hidden="1">Çözücü!$C$4:$C$7</definedName>
    <definedName name="solver_lhs10" localSheetId="1" hidden="1">Çözücü!$C$7</definedName>
    <definedName name="solver_lhs11" localSheetId="1" hidden="1">Çözücü!$C$7</definedName>
    <definedName name="solver_lhs12" localSheetId="1" hidden="1">Çözücü!$C$7</definedName>
    <definedName name="solver_lhs2" localSheetId="1" hidden="1">Çözücü!$C$7</definedName>
    <definedName name="solver_lhs3" localSheetId="1" hidden="1">Çözücü!$C$7</definedName>
    <definedName name="solver_lhs4" localSheetId="1" hidden="1">Çözücü!$C$7</definedName>
    <definedName name="solver_lhs5" localSheetId="1" hidden="1">Çözücü!$C$7</definedName>
    <definedName name="solver_lhs6" localSheetId="1" hidden="1">Çözücü!$C$7</definedName>
    <definedName name="solver_lhs7" localSheetId="1" hidden="1">Çözücü!$C$7</definedName>
    <definedName name="solver_lhs8" localSheetId="1" hidden="1">Çözücü!$C$7</definedName>
    <definedName name="solver_lhs9" localSheetId="1" hidden="1">Çözücü!$C$7</definedName>
    <definedName name="solver_mip" localSheetId="1" hidden="1">2147483647</definedName>
    <definedName name="solver_mni" localSheetId="1" hidden="1">30</definedName>
    <definedName name="solver_mrt" localSheetId="1" hidden="1">0.075</definedName>
    <definedName name="solver_msl" localSheetId="1" hidden="1">2</definedName>
    <definedName name="solver_neg" localSheetId="1" hidden="1">1</definedName>
    <definedName name="solver_nod" localSheetId="1" hidden="1">2147483647</definedName>
    <definedName name="solver_num" localSheetId="1" hidden="1">0</definedName>
    <definedName name="solver_nwt" localSheetId="1" hidden="1">1</definedName>
    <definedName name="solver_pre" localSheetId="1" hidden="1">0.000001</definedName>
    <definedName name="solver_rbv" localSheetId="1" hidden="1">2</definedName>
    <definedName name="solver_rel1" localSheetId="1" hidden="1">3</definedName>
    <definedName name="solver_rel10" localSheetId="1" hidden="1">3</definedName>
    <definedName name="solver_rel11" localSheetId="1" hidden="1">3</definedName>
    <definedName name="solver_rel12" localSheetId="1" hidden="1">3</definedName>
    <definedName name="solver_rel2" localSheetId="1" hidden="1">1</definedName>
    <definedName name="solver_rel3" localSheetId="1" hidden="1">1</definedName>
    <definedName name="solver_rel4" localSheetId="1" hidden="1">1</definedName>
    <definedName name="solver_rel5" localSheetId="1" hidden="1">1</definedName>
    <definedName name="solver_rel6" localSheetId="1" hidden="1">1</definedName>
    <definedName name="solver_rel7" localSheetId="1" hidden="1">4</definedName>
    <definedName name="solver_rel8" localSheetId="1" hidden="1">4</definedName>
    <definedName name="solver_rel9" localSheetId="1" hidden="1">3</definedName>
    <definedName name="solver_rhs1" localSheetId="1" hidden="1">1000</definedName>
    <definedName name="solver_rhs10" localSheetId="1" hidden="1">0</definedName>
    <definedName name="solver_rhs11" localSheetId="1" hidden="1">0</definedName>
    <definedName name="solver_rhs12" localSheetId="1" hidden="1">0</definedName>
    <definedName name="solver_rhs2" localSheetId="1" hidden="1">Çözücü!$B$7</definedName>
    <definedName name="solver_rhs3" localSheetId="1" hidden="1">Çözücü!$B$7</definedName>
    <definedName name="solver_rhs4" localSheetId="1" hidden="1">Çözücü!$B$7</definedName>
    <definedName name="solver_rhs5" localSheetId="1" hidden="1">Çözücü!$B$7</definedName>
    <definedName name="solver_rhs6" localSheetId="1" hidden="1">Çözücü!$B$7</definedName>
    <definedName name="solver_rhs7" localSheetId="1" hidden="1">tamsayı</definedName>
    <definedName name="solver_rhs8" localSheetId="1" hidden="1">tamsayı</definedName>
    <definedName name="solver_rhs9" localSheetId="1" hidden="1">0</definedName>
    <definedName name="solver_rlx" localSheetId="1" hidden="1">2</definedName>
    <definedName name="solver_rsd" localSheetId="1" hidden="1">0</definedName>
    <definedName name="solver_scl" localSheetId="1" hidden="1">2</definedName>
    <definedName name="solver_sho" localSheetId="1" hidden="1">2</definedName>
    <definedName name="solver_ssz" localSheetId="1" hidden="1">100</definedName>
    <definedName name="solver_tim" localSheetId="1" hidden="1">2147483647</definedName>
    <definedName name="solver_tol" localSheetId="1" hidden="1">0.01</definedName>
    <definedName name="solver_typ" localSheetId="1" hidden="1">3</definedName>
    <definedName name="solver_val" localSheetId="1" hidden="1">0</definedName>
    <definedName name="solver_ver" localSheetId="1" hidden="1">3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7" i="2" l="1"/>
  <c r="F5" i="1" l="1"/>
  <c r="G5" i="1" s="1"/>
  <c r="F6" i="1"/>
  <c r="G6" i="1" s="1"/>
  <c r="F7" i="1"/>
  <c r="G7" i="1" s="1"/>
  <c r="F4" i="1"/>
  <c r="G4" i="1" s="1"/>
  <c r="G9" i="1" l="1"/>
</calcChain>
</file>

<file path=xl/sharedStrings.xml><?xml version="1.0" encoding="utf-8"?>
<sst xmlns="http://schemas.openxmlformats.org/spreadsheetml/2006/main" count="27" uniqueCount="26">
  <si>
    <t>Ürünler</t>
  </si>
  <si>
    <t>Havlu</t>
  </si>
  <si>
    <t>Bornoz</t>
  </si>
  <si>
    <t>El Havlusu</t>
  </si>
  <si>
    <t>Satış Fiyat</t>
  </si>
  <si>
    <t>Maliyet</t>
  </si>
  <si>
    <t>Miktar</t>
  </si>
  <si>
    <t>Birim Kar</t>
  </si>
  <si>
    <t>Toplam Kar</t>
  </si>
  <si>
    <t>Depo Stok</t>
  </si>
  <si>
    <t>Aylar</t>
  </si>
  <si>
    <t>Satış Tutarı</t>
  </si>
  <si>
    <t>Ocak</t>
  </si>
  <si>
    <t>Şubat</t>
  </si>
  <si>
    <t>Mart</t>
  </si>
  <si>
    <t>Nisan</t>
  </si>
  <si>
    <t>Mayıs</t>
  </si>
  <si>
    <t>Haziran</t>
  </si>
  <si>
    <t>Temmuz</t>
  </si>
  <si>
    <t>Ağustos</t>
  </si>
  <si>
    <t>Eylül</t>
  </si>
  <si>
    <t>Ekim</t>
  </si>
  <si>
    <t>Kasım</t>
  </si>
  <si>
    <t>Aralık</t>
  </si>
  <si>
    <t>12 Aylık Ortalama</t>
  </si>
  <si>
    <t>Vücut Havlusu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</si>
</sst>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3" formatCode="_-* #,##0.00\ _₺_-;\-* #,##0.00\ _₺_-;_-* &quot;-&quot;??\ _₺_-;_-@_-"/>
  </numFmts>
  <fonts count="6" x14ac:knownFonts="1"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b/>
      <sz val="11"/>
      <color theme="1"/>
      <name val="Calibri"/>
      <family val="2"/>
      <scheme val="minor"/>
    </font>
    <font>
      <sz val="11"/>
      <color rgb="FF006100"/>
      <name val="Calibri"/>
      <family val="2"/>
      <charset val="162"/>
      <scheme val="minor"/>
    </font>
    <font>
      <sz val="11"/>
      <color rgb="FF9C0006"/>
      <name val="Calibri"/>
      <family val="2"/>
      <charset val="162"/>
      <scheme val="minor"/>
    </font>
    <font>
      <b/>
      <sz val="11"/>
      <color rgb="FF3F3F3F"/>
      <name val="Calibri"/>
      <family val="2"/>
      <charset val="16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2F2F2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</borders>
  <cellStyleXfs count="5">
    <xf numFmtId="0" fontId="0" fillId="0" borderId="0"/>
    <xf numFmtId="43" fontId="1" fillId="0" borderId="0" applyFont="0" applyFill="0" applyBorder="0" applyAlignment="0" applyProtection="0"/>
    <xf numFmtId="0" fontId="3" fillId="3" borderId="0" applyNumberFormat="0" applyBorder="0" applyAlignment="0" applyProtection="0"/>
    <xf numFmtId="0" fontId="4" fillId="4" borderId="0" applyNumberFormat="0" applyBorder="0" applyAlignment="0" applyProtection="0"/>
    <xf numFmtId="0" fontId="5" fillId="5" borderId="2" applyNumberFormat="0" applyAlignment="0" applyProtection="0"/>
  </cellStyleXfs>
  <cellXfs count="15">
    <xf numFmtId="0" fontId="0" fillId="0" borderId="0" xfId="0"/>
    <xf numFmtId="43" fontId="0" fillId="0" borderId="0" xfId="1" applyFont="1"/>
    <xf numFmtId="43" fontId="0" fillId="2" borderId="1" xfId="1" applyFont="1" applyFill="1" applyBorder="1"/>
    <xf numFmtId="0" fontId="2" fillId="0" borderId="0" xfId="0" applyFont="1" applyAlignment="1">
      <alignment horizontal="center"/>
    </xf>
    <xf numFmtId="43" fontId="2" fillId="0" borderId="0" xfId="1" applyFont="1"/>
    <xf numFmtId="0" fontId="2" fillId="0" borderId="1" xfId="0" applyFont="1" applyFill="1" applyBorder="1" applyAlignment="1">
      <alignment horizontal="center"/>
    </xf>
    <xf numFmtId="0" fontId="0" fillId="0" borderId="1" xfId="0" applyFill="1" applyBorder="1"/>
    <xf numFmtId="43" fontId="0" fillId="0" borderId="1" xfId="1" applyFont="1" applyFill="1" applyBorder="1"/>
    <xf numFmtId="43" fontId="0" fillId="0" borderId="1" xfId="1" applyNumberFormat="1" applyFont="1" applyFill="1" applyBorder="1"/>
    <xf numFmtId="3" fontId="0" fillId="0" borderId="1" xfId="1" applyNumberFormat="1" applyFont="1" applyFill="1" applyBorder="1"/>
    <xf numFmtId="14" fontId="3" fillId="3" borderId="0" xfId="2" applyNumberFormat="1" applyAlignment="1">
      <alignment horizontal="left"/>
    </xf>
    <xf numFmtId="4" fontId="3" fillId="3" borderId="0" xfId="2" applyNumberFormat="1"/>
    <xf numFmtId="14" fontId="5" fillId="5" borderId="2" xfId="4" applyNumberFormat="1" applyAlignment="1">
      <alignment horizontal="left"/>
    </xf>
    <xf numFmtId="4" fontId="5" fillId="5" borderId="2" xfId="4" applyNumberFormat="1"/>
    <xf numFmtId="0" fontId="4" fillId="4" borderId="2" xfId="3" applyBorder="1"/>
  </cellXfs>
  <cellStyles count="5">
    <cellStyle name="Bad" xfId="3" builtinId="27"/>
    <cellStyle name="Comma" xfId="1" builtinId="3"/>
    <cellStyle name="Good" xfId="2" builtinId="26"/>
    <cellStyle name="Normal" xfId="0" builtinId="0"/>
    <cellStyle name="Output" xfId="4" builtinId="2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B17"/>
  <sheetViews>
    <sheetView workbookViewId="0">
      <selection activeCell="B10" sqref="B10"/>
    </sheetView>
  </sheetViews>
  <sheetFormatPr defaultRowHeight="15" x14ac:dyDescent="0.25"/>
  <cols>
    <col min="1" max="1" width="18.42578125" customWidth="1"/>
    <col min="2" max="2" width="11.7109375" bestFit="1" customWidth="1"/>
  </cols>
  <sheetData>
    <row r="3" spans="1:2" x14ac:dyDescent="0.25">
      <c r="A3" s="14" t="s">
        <v>10</v>
      </c>
      <c r="B3" s="14" t="s">
        <v>11</v>
      </c>
    </row>
    <row r="4" spans="1:2" x14ac:dyDescent="0.25">
      <c r="A4" s="12" t="s">
        <v>12</v>
      </c>
      <c r="B4" s="13">
        <v>2571.8225356799994</v>
      </c>
    </row>
    <row r="5" spans="1:2" x14ac:dyDescent="0.25">
      <c r="A5" s="12" t="s">
        <v>13</v>
      </c>
      <c r="B5" s="13">
        <v>2474.425585</v>
      </c>
    </row>
    <row r="6" spans="1:2" x14ac:dyDescent="0.25">
      <c r="A6" s="12" t="s">
        <v>14</v>
      </c>
      <c r="B6" s="13">
        <v>1692.8825047949999</v>
      </c>
    </row>
    <row r="7" spans="1:2" x14ac:dyDescent="0.25">
      <c r="A7" s="12" t="s">
        <v>15</v>
      </c>
      <c r="B7" s="13">
        <v>2225.9355168399989</v>
      </c>
    </row>
    <row r="8" spans="1:2" x14ac:dyDescent="0.25">
      <c r="A8" s="12" t="s">
        <v>16</v>
      </c>
      <c r="B8" s="13">
        <v>4028.0245699199995</v>
      </c>
    </row>
    <row r="9" spans="1:2" x14ac:dyDescent="0.25">
      <c r="A9" s="12" t="s">
        <v>17</v>
      </c>
      <c r="B9" s="13">
        <v>4375.8621029200012</v>
      </c>
    </row>
    <row r="10" spans="1:2" x14ac:dyDescent="0.25">
      <c r="A10" s="12" t="s">
        <v>18</v>
      </c>
      <c r="B10" s="13">
        <v>4507.0173249999998</v>
      </c>
    </row>
    <row r="11" spans="1:2" x14ac:dyDescent="0.25">
      <c r="A11" s="12" t="s">
        <v>19</v>
      </c>
      <c r="B11" s="13">
        <v>3056.5156550000015</v>
      </c>
    </row>
    <row r="12" spans="1:2" x14ac:dyDescent="0.25">
      <c r="A12" s="12" t="s">
        <v>20</v>
      </c>
      <c r="B12" s="13">
        <v>9896.0988273150015</v>
      </c>
    </row>
    <row r="13" spans="1:2" x14ac:dyDescent="0.25">
      <c r="A13" s="12" t="s">
        <v>21</v>
      </c>
      <c r="B13" s="13">
        <v>2340.6522699999987</v>
      </c>
    </row>
    <row r="14" spans="1:2" x14ac:dyDescent="0.25">
      <c r="A14" s="12" t="s">
        <v>22</v>
      </c>
      <c r="B14" s="13">
        <v>6795.6723000000002</v>
      </c>
    </row>
    <row r="15" spans="1:2" x14ac:dyDescent="0.25">
      <c r="A15" s="12" t="s">
        <v>23</v>
      </c>
      <c r="B15" s="13"/>
    </row>
    <row r="17" spans="1:2" x14ac:dyDescent="0.25">
      <c r="A17" s="10" t="s">
        <v>24</v>
      </c>
      <c r="B17" s="11">
        <f>AVERAGE(B4:B15)</f>
        <v>3996.8099265881815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H13"/>
  <sheetViews>
    <sheetView tabSelected="1" zoomScale="150" zoomScaleNormal="150" workbookViewId="0">
      <selection activeCell="A4" sqref="A4"/>
    </sheetView>
  </sheetViews>
  <sheetFormatPr defaultRowHeight="15" x14ac:dyDescent="0.25"/>
  <cols>
    <col min="1" max="1" width="17.42578125" customWidth="1"/>
    <col min="2" max="2" width="11.140625" bestFit="1" customWidth="1"/>
    <col min="3" max="3" width="12.140625" customWidth="1"/>
    <col min="4" max="4" width="8.42578125" customWidth="1"/>
    <col min="5" max="5" width="9.85546875" bestFit="1" customWidth="1"/>
    <col min="6" max="6" width="12.28515625" bestFit="1" customWidth="1"/>
    <col min="7" max="7" width="11.140625" bestFit="1" customWidth="1"/>
  </cols>
  <sheetData>
    <row r="3" spans="1:8" x14ac:dyDescent="0.25">
      <c r="A3" s="5" t="s">
        <v>0</v>
      </c>
      <c r="B3" s="5" t="s">
        <v>9</v>
      </c>
      <c r="C3" s="5" t="s">
        <v>6</v>
      </c>
      <c r="D3" s="5" t="s">
        <v>5</v>
      </c>
      <c r="E3" s="5" t="s">
        <v>4</v>
      </c>
      <c r="F3" s="5" t="s">
        <v>7</v>
      </c>
      <c r="G3" s="5" t="s">
        <v>8</v>
      </c>
      <c r="H3" s="3"/>
    </row>
    <row r="4" spans="1:8" x14ac:dyDescent="0.25">
      <c r="A4" s="6" t="s">
        <v>1</v>
      </c>
      <c r="B4" s="9">
        <v>4590</v>
      </c>
      <c r="C4" s="7">
        <v>0</v>
      </c>
      <c r="D4" s="8">
        <v>2.4500000000000002</v>
      </c>
      <c r="E4" s="8">
        <v>3.2</v>
      </c>
      <c r="F4" s="7">
        <f>E4-D4</f>
        <v>0.75</v>
      </c>
      <c r="G4" s="7">
        <f>C4*F4</f>
        <v>0</v>
      </c>
    </row>
    <row r="5" spans="1:8" x14ac:dyDescent="0.25">
      <c r="A5" s="6" t="s">
        <v>2</v>
      </c>
      <c r="B5" s="9">
        <v>3249</v>
      </c>
      <c r="C5" s="7">
        <v>0</v>
      </c>
      <c r="D5" s="8">
        <v>4.1450000000000005</v>
      </c>
      <c r="E5" s="8">
        <v>4.8</v>
      </c>
      <c r="F5" s="7">
        <f t="shared" ref="F5:F7" si="0">E5-D5</f>
        <v>0.65499999999999936</v>
      </c>
      <c r="G5" s="7">
        <f>C5*F5</f>
        <v>0</v>
      </c>
    </row>
    <row r="6" spans="1:8" x14ac:dyDescent="0.25">
      <c r="A6" s="6" t="s">
        <v>3</v>
      </c>
      <c r="B6" s="9">
        <v>4309</v>
      </c>
      <c r="C6" s="7">
        <v>0</v>
      </c>
      <c r="D6" s="8">
        <v>3.6740000000000004</v>
      </c>
      <c r="E6" s="8">
        <v>4.3</v>
      </c>
      <c r="F6" s="7">
        <f t="shared" si="0"/>
        <v>0.62599999999999945</v>
      </c>
      <c r="G6" s="7">
        <f>C6*F6</f>
        <v>0</v>
      </c>
    </row>
    <row r="7" spans="1:8" x14ac:dyDescent="0.25">
      <c r="A7" s="6" t="s">
        <v>25</v>
      </c>
      <c r="B7" s="9">
        <v>8923</v>
      </c>
      <c r="C7" s="7">
        <v>0</v>
      </c>
      <c r="D7" s="8">
        <v>2.5449999999999999</v>
      </c>
      <c r="E7" s="8">
        <v>3.2</v>
      </c>
      <c r="F7" s="7">
        <f t="shared" si="0"/>
        <v>0.65500000000000025</v>
      </c>
      <c r="G7" s="7">
        <f>C7*F7</f>
        <v>0</v>
      </c>
    </row>
    <row r="8" spans="1:8" x14ac:dyDescent="0.25">
      <c r="D8" s="1"/>
      <c r="E8" s="1"/>
      <c r="F8" s="1"/>
      <c r="G8" s="1"/>
    </row>
    <row r="9" spans="1:8" x14ac:dyDescent="0.25">
      <c r="D9" s="1"/>
      <c r="E9" s="1"/>
      <c r="F9" s="4" t="s">
        <v>8</v>
      </c>
      <c r="G9" s="2">
        <f>SUM(G4:G7)</f>
        <v>0</v>
      </c>
    </row>
    <row r="10" spans="1:8" x14ac:dyDescent="0.25">
      <c r="D10" s="1"/>
      <c r="E10" s="1"/>
      <c r="F10" s="1"/>
      <c r="G10" s="1"/>
    </row>
    <row r="11" spans="1:8" x14ac:dyDescent="0.25">
      <c r="D11" s="1"/>
      <c r="E11" s="1"/>
      <c r="F11" s="1"/>
      <c r="G11" s="1"/>
    </row>
    <row r="12" spans="1:8" x14ac:dyDescent="0.25">
      <c r="D12" s="1"/>
      <c r="E12" s="1"/>
      <c r="F12" s="1"/>
      <c r="G12" s="1"/>
    </row>
    <row r="13" spans="1:8" x14ac:dyDescent="0.25">
      <c r="D13" s="1"/>
      <c r="E13" s="1"/>
      <c r="F13" s="1"/>
      <c r="G13" s="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Hedef Ara</vt:lpstr>
      <vt:lpstr>Çözücü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Ömer BAĞCI</dc:creator>
  <cp:lastModifiedBy>Ömer BAĞCI</cp:lastModifiedBy>
  <dcterms:created xsi:type="dcterms:W3CDTF">2013-12-10T18:45:41Z</dcterms:created>
  <dcterms:modified xsi:type="dcterms:W3CDTF">2015-06-02T19:45:37Z</dcterms:modified>
  <cp:contentStatus/>
</cp:coreProperties>
</file>