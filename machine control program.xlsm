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hatun\Desktop\excel\excel makrolar\"/>
    </mc:Choice>
  </mc:AlternateContent>
  <xr:revisionPtr revIDLastSave="0" documentId="13_ncr:1_{BDDFBBF7-8A2F-46ED-823F-B9A3413CB7AD}" xr6:coauthVersionLast="46" xr6:coauthVersionMax="46" xr10:uidLastSave="{00000000-0000-0000-0000-000000000000}"/>
  <bookViews>
    <workbookView xWindow="-108" yWindow="-108" windowWidth="23256" windowHeight="12576" xr2:uid="{DCF3FED4-DD0E-4B72-B932-8B6A89824709}"/>
  </bookViews>
  <sheets>
    <sheet name="Sayfa1" sheetId="1" r:id="rId1"/>
    <sheet name="Sayfa3" sheetId="3" r:id="rId2"/>
    <sheet name="Sayfa2" sheetId="2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5" i="1" l="1"/>
  <c r="O7" i="1"/>
  <c r="O8" i="1"/>
  <c r="O9" i="1"/>
  <c r="O10" i="1"/>
  <c r="O11" i="1"/>
  <c r="O12" i="1"/>
  <c r="O13" i="1"/>
  <c r="O14" i="1"/>
  <c r="O16" i="1"/>
  <c r="O17" i="1"/>
  <c r="O18" i="1"/>
  <c r="O19" i="1"/>
  <c r="O20" i="1"/>
  <c r="O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6" i="1"/>
</calcChain>
</file>

<file path=xl/sharedStrings.xml><?xml version="1.0" encoding="utf-8"?>
<sst xmlns="http://schemas.openxmlformats.org/spreadsheetml/2006/main" count="83" uniqueCount="44">
  <si>
    <t>ürün</t>
  </si>
  <si>
    <t>işlem süresi</t>
  </si>
  <si>
    <t>personel</t>
  </si>
  <si>
    <t>çıkan ürün</t>
  </si>
  <si>
    <t>olması gereken</t>
  </si>
  <si>
    <t>baş.saati</t>
  </si>
  <si>
    <t>harun</t>
  </si>
  <si>
    <t>mert</t>
  </si>
  <si>
    <t>kazım</t>
  </si>
  <si>
    <t>yüzde performans %</t>
  </si>
  <si>
    <t>çıkan</t>
  </si>
  <si>
    <t>talep</t>
  </si>
  <si>
    <t>yüzde</t>
  </si>
  <si>
    <t>puan</t>
  </si>
  <si>
    <t>işlem süresi(dk)</t>
  </si>
  <si>
    <t>talep el ile girilir</t>
  </si>
  <si>
    <t>enes</t>
  </si>
  <si>
    <t>ömer</t>
  </si>
  <si>
    <t xml:space="preserve">şifre harun </t>
  </si>
  <si>
    <t>şifre harun1</t>
  </si>
  <si>
    <t>sayfa1e sağ tıkla korumayı kaldır</t>
  </si>
  <si>
    <t>XYZ</t>
  </si>
  <si>
    <t>MT12</t>
  </si>
  <si>
    <t>SK26</t>
  </si>
  <si>
    <t>hurda</t>
  </si>
  <si>
    <t>kalite</t>
  </si>
  <si>
    <t>kaliteli çıkan</t>
  </si>
  <si>
    <t>SK21</t>
  </si>
  <si>
    <t>TO</t>
  </si>
  <si>
    <t>CC</t>
  </si>
  <si>
    <t>SUBJECT</t>
  </si>
  <si>
    <t>Harun-Bakirci@hotmail.com</t>
  </si>
  <si>
    <t>Merhabalar Vardiya Sonlandırıldı İyi günler.</t>
  </si>
  <si>
    <t>Vardiya Sonlandı</t>
  </si>
  <si>
    <t>BODY</t>
  </si>
  <si>
    <t>sıra</t>
  </si>
  <si>
    <t>harun-ecrin1@hotmail.com</t>
  </si>
  <si>
    <t>Recep_434_fb_1907@hotmail.com</t>
  </si>
  <si>
    <t>ismail.gunduz@istanbulticaret.edu.tr</t>
  </si>
  <si>
    <t>mola</t>
  </si>
  <si>
    <t>belrsiz durus</t>
  </si>
  <si>
    <t>belirsiz duruş nedeni</t>
  </si>
  <si>
    <t>Makine arızalandı</t>
  </si>
  <si>
    <t>Bakım yapılıyor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</si>
</sst>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9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3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sz val="13"/>
      <color theme="0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  <font>
      <sz val="12"/>
      <color theme="1"/>
      <name val="Calibri"/>
      <family val="2"/>
      <charset val="162"/>
      <scheme val="minor"/>
    </font>
    <font>
      <u/>
      <sz val="11"/>
      <color theme="10"/>
      <name val="Calibri"/>
      <family val="2"/>
      <charset val="162"/>
      <scheme val="minor"/>
    </font>
    <font>
      <sz val="11"/>
      <color rgb="FF800080"/>
      <name val="Calibri"/>
      <family val="2"/>
      <charset val="16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342FFD"/>
        <bgColor indexed="64"/>
      </patternFill>
    </fill>
    <fill>
      <patternFill patternType="solid">
        <fgColor rgb="FFD0F905"/>
        <bgColor indexed="64"/>
      </patternFill>
    </fill>
    <fill>
      <patternFill patternType="solid">
        <fgColor rgb="FFF22E00"/>
        <bgColor indexed="64"/>
      </patternFill>
    </fill>
    <fill>
      <patternFill patternType="solid">
        <fgColor rgb="FF22C51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3" borderId="0" applyNumberFormat="0" applyBorder="0" applyAlignment="0" applyProtection="0"/>
    <xf numFmtId="0" fontId="1" fillId="4" borderId="0" applyNumberFormat="0" applyBorder="0" applyAlignment="0" applyProtection="0"/>
    <xf numFmtId="0" fontId="7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 applyNumberFormat="1"/>
    <xf numFmtId="0" fontId="4" fillId="3" borderId="0" xfId="2" applyFont="1"/>
    <xf numFmtId="0" fontId="2" fillId="4" borderId="0" xfId="3" applyFont="1"/>
    <xf numFmtId="2" fontId="0" fillId="0" borderId="0" xfId="0" applyNumberFormat="1"/>
    <xf numFmtId="0" fontId="2" fillId="0" borderId="1" xfId="0" applyNumberFormat="1" applyFont="1" applyBorder="1"/>
    <xf numFmtId="0" fontId="2" fillId="0" borderId="0" xfId="0" applyFont="1"/>
    <xf numFmtId="2" fontId="2" fillId="0" borderId="0" xfId="0" applyNumberFormat="1" applyFont="1"/>
    <xf numFmtId="0" fontId="5" fillId="2" borderId="0" xfId="1" applyFont="1"/>
    <xf numFmtId="164" fontId="2" fillId="0" borderId="0" xfId="0" applyNumberFormat="1" applyFont="1"/>
    <xf numFmtId="164" fontId="0" fillId="0" borderId="0" xfId="0" applyNumberFormat="1"/>
    <xf numFmtId="0" fontId="2" fillId="5" borderId="0" xfId="0" applyFont="1" applyFill="1"/>
    <xf numFmtId="1" fontId="0" fillId="0" borderId="0" xfId="0" applyNumberFormat="1"/>
    <xf numFmtId="0" fontId="7" fillId="0" borderId="0" xfId="4"/>
    <xf numFmtId="0" fontId="2" fillId="6" borderId="0" xfId="0" applyFont="1" applyFill="1"/>
    <xf numFmtId="0" fontId="8" fillId="7" borderId="0" xfId="0" applyFont="1" applyFill="1"/>
    <xf numFmtId="0" fontId="0" fillId="8" borderId="0" xfId="0" applyFill="1"/>
    <xf numFmtId="0" fontId="2" fillId="8" borderId="0" xfId="0" applyFont="1" applyFill="1"/>
    <xf numFmtId="0" fontId="0" fillId="9" borderId="0" xfId="0" applyFill="1"/>
    <xf numFmtId="0" fontId="0" fillId="10" borderId="0" xfId="0" applyFill="1"/>
    <xf numFmtId="0" fontId="2" fillId="10" borderId="0" xfId="0" applyFont="1" applyFill="1"/>
    <xf numFmtId="0" fontId="0" fillId="11" borderId="0" xfId="0" applyFill="1"/>
    <xf numFmtId="0" fontId="2" fillId="11" borderId="0" xfId="0" applyFont="1" applyFill="1"/>
    <xf numFmtId="0" fontId="6" fillId="5" borderId="0" xfId="0" applyFont="1" applyFill="1" applyAlignment="1">
      <alignment horizontal="center"/>
    </xf>
    <xf numFmtId="0" fontId="2" fillId="5" borderId="0" xfId="3" applyFont="1" applyFill="1" applyBorder="1" applyAlignment="1">
      <alignment horizontal="center"/>
    </xf>
  </cellXfs>
  <cellStyles count="5">
    <cellStyle name="%40 - Vurgu1" xfId="1" builtinId="31"/>
    <cellStyle name="%60 - Vurgu2" xfId="3" builtinId="36"/>
    <cellStyle name="Köprü" xfId="4" builtinId="8"/>
    <cellStyle name="Normal" xfId="0" builtinId="0"/>
    <cellStyle name="Vurgu1" xfId="2" builtinId="29"/>
  </cellStyles>
  <dxfs count="0"/>
  <tableStyles count="0" defaultTableStyle="TableStyleMedium2" defaultPivotStyle="PivotStyleLight16"/>
  <colors>
    <mruColors>
      <color rgb="FF22C515"/>
      <color rgb="FFF22E00"/>
      <color rgb="FFD0F905"/>
      <color rgb="FF1BA311"/>
      <color rgb="FF342FFD"/>
      <color rgb="FFAC2100"/>
      <color rgb="FF8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250978</xdr:colOff>
      <xdr:row>22</xdr:row>
      <xdr:rowOff>163493</xdr:rowOff>
    </xdr:from>
    <xdr:to>
      <xdr:col>14</xdr:col>
      <xdr:colOff>975746</xdr:colOff>
      <xdr:row>26</xdr:row>
      <xdr:rowOff>80348</xdr:rowOff>
    </xdr:to>
    <xdr:sp macro="[0]!proses" textlink="">
      <xdr:nvSpPr>
        <xdr:cNvPr id="2" name="Dikdörtgen: Köşeleri Yuvarlatılmış 1">
          <a:extLst>
            <a:ext uri="{FF2B5EF4-FFF2-40B4-BE49-F238E27FC236}">
              <a16:creationId xmlns:a16="http://schemas.microsoft.com/office/drawing/2014/main" id="{06ED1AF7-570A-45E4-9906-E727388708BA}"/>
            </a:ext>
          </a:extLst>
        </xdr:cNvPr>
        <xdr:cNvSpPr/>
      </xdr:nvSpPr>
      <xdr:spPr>
        <a:xfrm>
          <a:off x="11989636" y="4938050"/>
          <a:ext cx="2364515" cy="804247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300"/>
            <a:t>PERFORMANS</a:t>
          </a:r>
          <a:r>
            <a:rPr lang="tr-TR" sz="1300" baseline="0"/>
            <a:t> ÖLÇÜMÜ</a:t>
          </a:r>
          <a:endParaRPr lang="tr-TR" sz="13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175260</xdr:colOff>
      <xdr:row>11</xdr:row>
      <xdr:rowOff>99060</xdr:rowOff>
    </xdr:from>
    <xdr:to>
      <xdr:col>13</xdr:col>
      <xdr:colOff>525780</xdr:colOff>
      <xdr:row>15</xdr:row>
      <xdr:rowOff>53340</xdr:rowOff>
    </xdr:to>
    <xdr:sp macro="[0]!toplam" textlink="">
      <xdr:nvSpPr>
        <xdr:cNvPr id="3" name="Dikdörtgen: Köşeleri Yuvarlatılmış 2">
          <a:extLst>
            <a:ext uri="{FF2B5EF4-FFF2-40B4-BE49-F238E27FC236}">
              <a16:creationId xmlns:a16="http://schemas.microsoft.com/office/drawing/2014/main" id="{80A0D427-BBE2-4EB3-8704-EBA291EF6473}"/>
            </a:ext>
          </a:extLst>
        </xdr:cNvPr>
        <xdr:cNvSpPr/>
      </xdr:nvSpPr>
      <xdr:spPr>
        <a:xfrm>
          <a:off x="7536180" y="2110740"/>
          <a:ext cx="1569720" cy="800100"/>
        </a:xfrm>
        <a:prstGeom prst="roundRect">
          <a:avLst/>
        </a:prstGeom>
        <a:gradFill rotWithShape="1">
          <a:gsLst>
            <a:gs pos="0">
              <a:srgbClr val="70AD47">
                <a:satMod val="103000"/>
                <a:lumMod val="102000"/>
                <a:tint val="94000"/>
              </a:srgbClr>
            </a:gs>
            <a:gs pos="50000">
              <a:srgbClr val="70AD47">
                <a:satMod val="110000"/>
                <a:lumMod val="100000"/>
                <a:shade val="100000"/>
              </a:srgbClr>
            </a:gs>
            <a:gs pos="100000">
              <a:srgbClr val="70AD47">
                <a:lumMod val="99000"/>
                <a:satMod val="120000"/>
                <a:shade val="78000"/>
              </a:srgbClr>
            </a:gs>
          </a:gsLst>
          <a:lin ang="5400000" scaled="0"/>
        </a:gradFill>
        <a:ln w="6350" cap="flat" cmpd="sng" algn="ctr">
          <a:solidFill>
            <a:srgbClr val="70AD47"/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tr-TR" sz="13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PERFORMANS ÖLÇÜMÜ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mailto:Harun-Bakirci@hotmail.com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mailto:harun-ecrin1@hotmail.com" TargetMode="External"/><Relationship Id="rId1" Type="http://schemas.openxmlformats.org/officeDocument/2006/relationships/hyperlink" Target="mailto:Harun-Bakirci@hotmail.com" TargetMode="External"/><Relationship Id="rId6" Type="http://schemas.openxmlformats.org/officeDocument/2006/relationships/hyperlink" Target="mailto:Harun-Bakirci@hotmail.com" TargetMode="External"/><Relationship Id="rId5" Type="http://schemas.openxmlformats.org/officeDocument/2006/relationships/hyperlink" Target="mailto:ismail.gunduz@istanbulticaret.edu.tr" TargetMode="External"/><Relationship Id="rId4" Type="http://schemas.openxmlformats.org/officeDocument/2006/relationships/hyperlink" Target="mailto:Recep_434_fb_1907@hotmail.c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383A-0CE9-45A0-B292-6B125EBB8E21}">
  <sheetPr codeName="Sayfa1"/>
  <dimension ref="A3:Q154"/>
  <sheetViews>
    <sheetView tabSelected="1" topLeftCell="A33" zoomScale="89" workbookViewId="0">
      <selection activeCell="K43" sqref="K43"/>
    </sheetView>
  </sheetViews>
  <sheetFormatPr defaultRowHeight="14.4" x14ac:dyDescent="0.3"/>
  <cols>
    <col min="1" max="1" width="25.5546875" customWidth="1"/>
    <col min="2" max="2" width="24.5546875" customWidth="1"/>
    <col min="5" max="5" width="10.21875" bestFit="1" customWidth="1"/>
    <col min="6" max="6" width="7.109375" customWidth="1"/>
    <col min="7" max="7" width="17.88671875" bestFit="1" customWidth="1"/>
    <col min="8" max="8" width="15.77734375" bestFit="1" customWidth="1"/>
    <col min="9" max="9" width="17.44140625" bestFit="1" customWidth="1"/>
    <col min="10" max="10" width="12" bestFit="1" customWidth="1"/>
    <col min="11" max="11" width="22.77734375" bestFit="1" customWidth="1"/>
    <col min="12" max="12" width="6.21875" bestFit="1" customWidth="1"/>
    <col min="15" max="16" width="14.5546875" bestFit="1" customWidth="1"/>
    <col min="17" max="17" width="23.33203125" bestFit="1" customWidth="1"/>
  </cols>
  <sheetData>
    <row r="3" spans="4:17" ht="17.399999999999999" x14ac:dyDescent="0.35">
      <c r="G3" s="11" t="s">
        <v>18</v>
      </c>
      <c r="H3" s="11" t="s">
        <v>19</v>
      </c>
      <c r="J3" s="23" t="s">
        <v>20</v>
      </c>
      <c r="K3" s="23"/>
      <c r="L3" s="23"/>
    </row>
    <row r="5" spans="4:17" ht="18" x14ac:dyDescent="0.35">
      <c r="D5" t="s">
        <v>35</v>
      </c>
      <c r="E5" s="8" t="s">
        <v>2</v>
      </c>
      <c r="F5" s="8" t="s">
        <v>0</v>
      </c>
      <c r="G5" s="8" t="s">
        <v>14</v>
      </c>
      <c r="H5" s="8" t="s">
        <v>5</v>
      </c>
      <c r="I5" s="8" t="s">
        <v>4</v>
      </c>
      <c r="J5" s="8" t="s">
        <v>3</v>
      </c>
      <c r="K5" s="8" t="s">
        <v>9</v>
      </c>
      <c r="L5" s="8" t="s">
        <v>13</v>
      </c>
      <c r="M5" s="8" t="s">
        <v>24</v>
      </c>
      <c r="N5" s="8" t="s">
        <v>25</v>
      </c>
      <c r="O5" s="8" t="s">
        <v>26</v>
      </c>
      <c r="P5" s="8" t="s">
        <v>40</v>
      </c>
      <c r="Q5" s="8" t="s">
        <v>41</v>
      </c>
    </row>
    <row r="6" spans="4:17" ht="17.399999999999999" x14ac:dyDescent="0.35">
      <c r="D6">
        <v>1</v>
      </c>
      <c r="E6" s="22" t="s">
        <v>6</v>
      </c>
      <c r="F6" s="6" t="s">
        <v>27</v>
      </c>
      <c r="G6" s="6">
        <v>3</v>
      </c>
      <c r="H6" s="6">
        <v>0.76560185185185192</v>
      </c>
      <c r="I6" s="6">
        <v>20</v>
      </c>
      <c r="J6" s="6">
        <v>17</v>
      </c>
      <c r="K6" s="22">
        <v>85</v>
      </c>
      <c r="L6" s="22">
        <v>5</v>
      </c>
      <c r="M6" s="12">
        <v>5</v>
      </c>
      <c r="N6">
        <f>(G6*(J6-M6))/(G6*J6)</f>
        <v>0.70588235294117652</v>
      </c>
      <c r="O6" s="12">
        <f>J6-M6</f>
        <v>12</v>
      </c>
    </row>
    <row r="7" spans="4:17" ht="17.399999999999999" x14ac:dyDescent="0.35">
      <c r="D7">
        <v>2</v>
      </c>
      <c r="E7" s="17" t="s">
        <v>17</v>
      </c>
      <c r="F7" s="6" t="s">
        <v>27</v>
      </c>
      <c r="G7" s="6">
        <v>3</v>
      </c>
      <c r="H7" s="6">
        <v>0.76560185185185192</v>
      </c>
      <c r="I7" s="6">
        <v>20</v>
      </c>
      <c r="J7" s="6">
        <v>11</v>
      </c>
      <c r="K7" s="17">
        <v>55.000000000000007</v>
      </c>
      <c r="L7" s="6">
        <v>0</v>
      </c>
      <c r="M7" s="12">
        <v>3</v>
      </c>
      <c r="N7">
        <f t="shared" ref="N7:N20" si="0">(G7*(J7-M7))/(G7*J7)</f>
        <v>0.72727272727272729</v>
      </c>
      <c r="O7" s="12">
        <f t="shared" ref="O7:O20" si="1">J7-M7</f>
        <v>8</v>
      </c>
    </row>
    <row r="8" spans="4:17" ht="17.399999999999999" x14ac:dyDescent="0.35">
      <c r="D8">
        <v>3</v>
      </c>
      <c r="E8" s="20" t="s">
        <v>7</v>
      </c>
      <c r="F8" s="6" t="s">
        <v>21</v>
      </c>
      <c r="G8" s="6">
        <v>2</v>
      </c>
      <c r="H8" s="6">
        <v>0.76560185185185192</v>
      </c>
      <c r="I8" s="6">
        <v>22.5</v>
      </c>
      <c r="J8" s="6">
        <v>6</v>
      </c>
      <c r="K8" s="20">
        <v>27</v>
      </c>
      <c r="L8" s="6">
        <v>0</v>
      </c>
      <c r="M8" s="12">
        <v>2</v>
      </c>
      <c r="N8">
        <f t="shared" si="0"/>
        <v>0.66666666666666663</v>
      </c>
      <c r="O8" s="12">
        <f t="shared" si="1"/>
        <v>4</v>
      </c>
      <c r="P8">
        <v>15</v>
      </c>
      <c r="Q8" t="s">
        <v>42</v>
      </c>
    </row>
    <row r="9" spans="4:17" ht="17.399999999999999" x14ac:dyDescent="0.35">
      <c r="D9">
        <v>4</v>
      </c>
      <c r="E9" s="22" t="s">
        <v>8</v>
      </c>
      <c r="F9" s="6" t="s">
        <v>22</v>
      </c>
      <c r="G9" s="6">
        <v>4.5</v>
      </c>
      <c r="H9" s="6">
        <v>0.76560185185185192</v>
      </c>
      <c r="I9" s="6">
        <v>13.33</v>
      </c>
      <c r="J9" s="6">
        <v>13</v>
      </c>
      <c r="K9" s="22">
        <v>98</v>
      </c>
      <c r="L9" s="22">
        <v>5</v>
      </c>
      <c r="M9" s="12">
        <v>1</v>
      </c>
      <c r="N9">
        <f t="shared" si="0"/>
        <v>0.92307692307692313</v>
      </c>
      <c r="O9" s="12">
        <f t="shared" si="1"/>
        <v>12</v>
      </c>
    </row>
    <row r="10" spans="4:17" ht="17.399999999999999" x14ac:dyDescent="0.35">
      <c r="D10">
        <v>5</v>
      </c>
      <c r="E10" s="17" t="s">
        <v>7</v>
      </c>
      <c r="F10" s="6" t="s">
        <v>22</v>
      </c>
      <c r="G10" s="6">
        <v>4.5</v>
      </c>
      <c r="H10" s="6">
        <v>0.76560185185185192</v>
      </c>
      <c r="I10" s="6">
        <v>12.22</v>
      </c>
      <c r="J10" s="6">
        <v>9</v>
      </c>
      <c r="K10" s="17">
        <v>74</v>
      </c>
      <c r="L10" s="14">
        <v>4</v>
      </c>
      <c r="M10" s="12">
        <v>1</v>
      </c>
      <c r="N10">
        <f t="shared" si="0"/>
        <v>0.88888888888888884</v>
      </c>
      <c r="O10" s="12">
        <f t="shared" si="1"/>
        <v>8</v>
      </c>
      <c r="P10">
        <v>5</v>
      </c>
      <c r="Q10" t="s">
        <v>43</v>
      </c>
    </row>
    <row r="11" spans="4:17" ht="17.399999999999999" x14ac:dyDescent="0.35">
      <c r="D11">
        <v>6</v>
      </c>
      <c r="E11" s="22" t="s">
        <v>7</v>
      </c>
      <c r="F11" s="6" t="s">
        <v>27</v>
      </c>
      <c r="G11" s="6">
        <v>3</v>
      </c>
      <c r="H11" s="6">
        <v>0.76560185185185192</v>
      </c>
      <c r="I11" s="6">
        <v>18.329999999999998</v>
      </c>
      <c r="J11" s="6">
        <v>14</v>
      </c>
      <c r="K11" s="22">
        <v>76</v>
      </c>
      <c r="L11" s="22">
        <v>5</v>
      </c>
      <c r="M11" s="12">
        <v>1</v>
      </c>
      <c r="N11">
        <f t="shared" si="0"/>
        <v>0.9285714285714286</v>
      </c>
      <c r="O11" s="12">
        <f t="shared" si="1"/>
        <v>13</v>
      </c>
      <c r="P11">
        <v>5</v>
      </c>
      <c r="Q11" t="s">
        <v>42</v>
      </c>
    </row>
    <row r="12" spans="4:17" ht="17.399999999999999" x14ac:dyDescent="0.35">
      <c r="D12">
        <v>7</v>
      </c>
      <c r="E12" s="17" t="s">
        <v>6</v>
      </c>
      <c r="F12" s="6" t="s">
        <v>22</v>
      </c>
      <c r="G12" s="6">
        <v>4.5</v>
      </c>
      <c r="H12" s="6">
        <v>0.76560185185185192</v>
      </c>
      <c r="I12" s="6">
        <v>13.33</v>
      </c>
      <c r="J12" s="6">
        <v>7</v>
      </c>
      <c r="K12" s="17">
        <v>52</v>
      </c>
      <c r="L12" s="6">
        <v>0</v>
      </c>
      <c r="M12" s="12">
        <v>1</v>
      </c>
      <c r="N12">
        <f t="shared" si="0"/>
        <v>0.8571428571428571</v>
      </c>
      <c r="O12" s="12">
        <f t="shared" si="1"/>
        <v>6</v>
      </c>
    </row>
    <row r="13" spans="4:17" ht="17.399999999999999" x14ac:dyDescent="0.35">
      <c r="D13">
        <v>8</v>
      </c>
      <c r="E13" s="20" t="s">
        <v>6</v>
      </c>
      <c r="F13" s="6" t="s">
        <v>21</v>
      </c>
      <c r="G13" s="6">
        <v>2</v>
      </c>
      <c r="H13" s="6">
        <v>0.76560185185185192</v>
      </c>
      <c r="I13" s="6">
        <v>30</v>
      </c>
      <c r="J13" s="6">
        <v>6</v>
      </c>
      <c r="K13" s="20">
        <v>20</v>
      </c>
      <c r="L13" s="6">
        <v>0</v>
      </c>
      <c r="M13" s="12">
        <v>1</v>
      </c>
      <c r="N13">
        <f t="shared" si="0"/>
        <v>0.83333333333333337</v>
      </c>
      <c r="O13" s="12">
        <f t="shared" si="1"/>
        <v>5</v>
      </c>
    </row>
    <row r="14" spans="4:17" ht="17.399999999999999" x14ac:dyDescent="0.35">
      <c r="D14">
        <v>9</v>
      </c>
      <c r="E14" s="22" t="s">
        <v>6</v>
      </c>
      <c r="F14" s="6" t="s">
        <v>22</v>
      </c>
      <c r="G14" s="6">
        <v>4.5</v>
      </c>
      <c r="H14" s="6">
        <v>0.76560185185185192</v>
      </c>
      <c r="I14" s="6">
        <v>13.33</v>
      </c>
      <c r="J14" s="6">
        <v>11</v>
      </c>
      <c r="K14" s="22">
        <v>82</v>
      </c>
      <c r="L14" s="22">
        <v>5</v>
      </c>
      <c r="M14" s="12">
        <v>1</v>
      </c>
      <c r="N14">
        <f t="shared" si="0"/>
        <v>0.90909090909090906</v>
      </c>
      <c r="O14" s="12">
        <f t="shared" si="1"/>
        <v>10</v>
      </c>
    </row>
    <row r="15" spans="4:17" ht="17.399999999999999" x14ac:dyDescent="0.35">
      <c r="D15">
        <v>10</v>
      </c>
      <c r="E15" s="17" t="s">
        <v>8</v>
      </c>
      <c r="F15" s="6" t="s">
        <v>23</v>
      </c>
      <c r="G15" s="6">
        <v>5</v>
      </c>
      <c r="H15" s="6">
        <v>0.76560185185185192</v>
      </c>
      <c r="I15" s="6">
        <v>12</v>
      </c>
      <c r="J15" s="6">
        <v>7</v>
      </c>
      <c r="K15" s="17">
        <v>57.999999999999993</v>
      </c>
      <c r="L15" s="6">
        <v>0</v>
      </c>
      <c r="M15" s="12">
        <v>0</v>
      </c>
      <c r="N15">
        <f t="shared" si="0"/>
        <v>1</v>
      </c>
      <c r="O15" s="12">
        <f t="shared" si="1"/>
        <v>7</v>
      </c>
    </row>
    <row r="16" spans="4:17" ht="17.399999999999999" x14ac:dyDescent="0.35">
      <c r="D16">
        <v>11</v>
      </c>
      <c r="E16" s="17" t="s">
        <v>8</v>
      </c>
      <c r="F16" s="6" t="s">
        <v>23</v>
      </c>
      <c r="G16" s="6">
        <v>5</v>
      </c>
      <c r="H16" s="6">
        <v>0.76560185185185192</v>
      </c>
      <c r="I16" s="6">
        <v>12</v>
      </c>
      <c r="J16" s="6">
        <v>7</v>
      </c>
      <c r="K16" s="17">
        <v>57.999999999999993</v>
      </c>
      <c r="L16" s="6">
        <v>0</v>
      </c>
      <c r="M16" s="12">
        <v>1</v>
      </c>
      <c r="N16">
        <f t="shared" si="0"/>
        <v>0.8571428571428571</v>
      </c>
      <c r="O16" s="12">
        <f t="shared" si="1"/>
        <v>6</v>
      </c>
    </row>
    <row r="17" spans="1:15" ht="17.399999999999999" x14ac:dyDescent="0.35">
      <c r="D17">
        <v>12</v>
      </c>
      <c r="E17" s="22" t="s">
        <v>7</v>
      </c>
      <c r="F17" s="6" t="s">
        <v>27</v>
      </c>
      <c r="G17" s="6">
        <v>3</v>
      </c>
      <c r="H17" s="6">
        <v>0.76560185185185192</v>
      </c>
      <c r="I17" s="6">
        <v>20</v>
      </c>
      <c r="J17" s="6">
        <v>15</v>
      </c>
      <c r="K17" s="22">
        <v>75</v>
      </c>
      <c r="L17" s="22">
        <v>5</v>
      </c>
      <c r="M17" s="12">
        <v>2</v>
      </c>
      <c r="N17">
        <f t="shared" si="0"/>
        <v>0.8666666666666667</v>
      </c>
      <c r="O17" s="12">
        <f t="shared" si="1"/>
        <v>13</v>
      </c>
    </row>
    <row r="18" spans="1:15" ht="17.399999999999999" x14ac:dyDescent="0.35">
      <c r="D18">
        <v>13</v>
      </c>
      <c r="E18" s="17" t="s">
        <v>7</v>
      </c>
      <c r="F18" s="6" t="s">
        <v>27</v>
      </c>
      <c r="G18" s="6">
        <v>3</v>
      </c>
      <c r="H18" s="6">
        <v>0.76560185185185192</v>
      </c>
      <c r="I18" s="6">
        <v>20</v>
      </c>
      <c r="J18" s="6">
        <v>12</v>
      </c>
      <c r="K18" s="17">
        <v>60</v>
      </c>
      <c r="L18" s="6">
        <v>0</v>
      </c>
      <c r="M18" s="12">
        <v>1</v>
      </c>
      <c r="N18">
        <f t="shared" si="0"/>
        <v>0.91666666666666663</v>
      </c>
      <c r="O18" s="12">
        <f t="shared" si="1"/>
        <v>11</v>
      </c>
    </row>
    <row r="19" spans="1:15" ht="17.399999999999999" x14ac:dyDescent="0.35">
      <c r="D19">
        <v>14</v>
      </c>
      <c r="E19" s="22" t="s">
        <v>16</v>
      </c>
      <c r="F19" s="6" t="s">
        <v>27</v>
      </c>
      <c r="G19" s="6">
        <v>3</v>
      </c>
      <c r="H19" s="6">
        <v>0.76560185185185192</v>
      </c>
      <c r="I19" s="6">
        <v>20</v>
      </c>
      <c r="J19" s="6">
        <v>15</v>
      </c>
      <c r="K19" s="22">
        <v>75</v>
      </c>
      <c r="L19" s="22">
        <v>5</v>
      </c>
      <c r="M19" s="12">
        <v>2</v>
      </c>
      <c r="N19">
        <f t="shared" si="0"/>
        <v>0.8666666666666667</v>
      </c>
      <c r="O19" s="12">
        <f t="shared" si="1"/>
        <v>13</v>
      </c>
    </row>
    <row r="20" spans="1:15" ht="17.399999999999999" x14ac:dyDescent="0.35">
      <c r="D20">
        <v>15</v>
      </c>
      <c r="E20" s="22" t="s">
        <v>6</v>
      </c>
      <c r="F20" s="6" t="s">
        <v>21</v>
      </c>
      <c r="G20" s="6">
        <v>2</v>
      </c>
      <c r="H20" s="6">
        <v>0.76560185185185192</v>
      </c>
      <c r="I20" s="6">
        <v>30</v>
      </c>
      <c r="J20" s="6">
        <v>25</v>
      </c>
      <c r="K20" s="22">
        <v>83</v>
      </c>
      <c r="L20" s="22">
        <v>5</v>
      </c>
      <c r="M20" s="12">
        <v>5</v>
      </c>
      <c r="N20">
        <f t="shared" si="0"/>
        <v>0.8</v>
      </c>
      <c r="O20" s="12">
        <f t="shared" si="1"/>
        <v>20</v>
      </c>
    </row>
    <row r="21" spans="1:15" ht="17.399999999999999" x14ac:dyDescent="0.35">
      <c r="F21" s="6"/>
      <c r="G21" s="6"/>
      <c r="H21" s="9"/>
      <c r="I21" s="7"/>
    </row>
    <row r="22" spans="1:15" ht="17.399999999999999" x14ac:dyDescent="0.35">
      <c r="F22" s="6"/>
      <c r="G22" s="6"/>
      <c r="H22" s="9"/>
      <c r="I22" s="7"/>
    </row>
    <row r="23" spans="1:15" ht="17.399999999999999" x14ac:dyDescent="0.35">
      <c r="F23" s="6"/>
      <c r="G23" s="6"/>
      <c r="H23" s="9"/>
      <c r="I23" s="7"/>
    </row>
    <row r="24" spans="1:15" ht="17.399999999999999" x14ac:dyDescent="0.35">
      <c r="F24" s="6"/>
      <c r="G24" s="6"/>
      <c r="H24" s="9"/>
      <c r="I24" s="7"/>
    </row>
    <row r="25" spans="1:15" ht="17.399999999999999" x14ac:dyDescent="0.35">
      <c r="F25" s="6"/>
      <c r="G25" s="6"/>
      <c r="H25" s="9"/>
      <c r="I25" s="7"/>
    </row>
    <row r="26" spans="1:15" ht="17.399999999999999" x14ac:dyDescent="0.35">
      <c r="F26" s="6"/>
      <c r="G26" s="6"/>
      <c r="H26" s="9"/>
      <c r="I26" s="7"/>
    </row>
    <row r="27" spans="1:15" ht="17.399999999999999" x14ac:dyDescent="0.35">
      <c r="A27" t="s">
        <v>28</v>
      </c>
      <c r="B27" t="s">
        <v>29</v>
      </c>
      <c r="C27" t="s">
        <v>30</v>
      </c>
      <c r="D27" t="s">
        <v>34</v>
      </c>
      <c r="E27" s="6"/>
      <c r="G27" s="6"/>
      <c r="H27" s="9"/>
      <c r="I27" s="7"/>
    </row>
    <row r="28" spans="1:15" ht="17.399999999999999" x14ac:dyDescent="0.35">
      <c r="A28" s="13" t="s">
        <v>36</v>
      </c>
      <c r="B28" s="13" t="s">
        <v>31</v>
      </c>
      <c r="C28" t="s">
        <v>33</v>
      </c>
      <c r="D28" t="s">
        <v>32</v>
      </c>
      <c r="E28" s="6"/>
      <c r="G28" s="6"/>
      <c r="H28" s="9"/>
      <c r="I28" s="7"/>
    </row>
    <row r="29" spans="1:15" x14ac:dyDescent="0.3">
      <c r="A29" s="13" t="s">
        <v>37</v>
      </c>
      <c r="B29" s="13" t="s">
        <v>31</v>
      </c>
      <c r="C29" t="s">
        <v>33</v>
      </c>
      <c r="D29" t="s">
        <v>32</v>
      </c>
      <c r="H29" s="10"/>
      <c r="I29" s="4"/>
    </row>
    <row r="30" spans="1:15" x14ac:dyDescent="0.3">
      <c r="A30" s="13" t="s">
        <v>38</v>
      </c>
      <c r="B30" s="13" t="s">
        <v>31</v>
      </c>
      <c r="C30" t="s">
        <v>33</v>
      </c>
      <c r="D30" t="s">
        <v>32</v>
      </c>
      <c r="H30" s="10"/>
      <c r="I30" s="4"/>
    </row>
    <row r="31" spans="1:15" x14ac:dyDescent="0.3">
      <c r="I31" s="4"/>
    </row>
    <row r="32" spans="1:15" x14ac:dyDescent="0.3">
      <c r="I32" s="4"/>
    </row>
    <row r="33" spans="1:9" x14ac:dyDescent="0.3">
      <c r="I33" s="4"/>
    </row>
    <row r="34" spans="1:9" x14ac:dyDescent="0.3">
      <c r="I34" s="4"/>
    </row>
    <row r="35" spans="1:9" x14ac:dyDescent="0.3">
      <c r="I35" s="4"/>
    </row>
    <row r="36" spans="1:9" x14ac:dyDescent="0.3">
      <c r="A36" t="s">
        <v>39</v>
      </c>
      <c r="I36" s="4"/>
    </row>
    <row r="37" spans="1:9" x14ac:dyDescent="0.3">
      <c r="A37">
        <v>0</v>
      </c>
      <c r="I37" s="4"/>
    </row>
    <row r="38" spans="1:9" x14ac:dyDescent="0.3">
      <c r="I38" s="4"/>
    </row>
    <row r="39" spans="1:9" x14ac:dyDescent="0.3">
      <c r="I39" s="4"/>
    </row>
    <row r="40" spans="1:9" x14ac:dyDescent="0.3">
      <c r="I40" s="4"/>
    </row>
    <row r="41" spans="1:9" x14ac:dyDescent="0.3">
      <c r="I41" s="4"/>
    </row>
    <row r="42" spans="1:9" x14ac:dyDescent="0.3">
      <c r="I42" s="4"/>
    </row>
    <row r="43" spans="1:9" x14ac:dyDescent="0.3">
      <c r="A43" s="15"/>
      <c r="I43" s="4"/>
    </row>
    <row r="44" spans="1:9" x14ac:dyDescent="0.3">
      <c r="I44" s="4"/>
    </row>
    <row r="45" spans="1:9" x14ac:dyDescent="0.3">
      <c r="I45" s="4"/>
    </row>
    <row r="46" spans="1:9" x14ac:dyDescent="0.3">
      <c r="A46" s="19"/>
      <c r="I46" s="4"/>
    </row>
    <row r="47" spans="1:9" x14ac:dyDescent="0.3">
      <c r="I47" s="4"/>
    </row>
    <row r="48" spans="1:9" x14ac:dyDescent="0.3">
      <c r="A48" s="16"/>
      <c r="I48" s="4"/>
    </row>
    <row r="49" spans="1:9" x14ac:dyDescent="0.3">
      <c r="I49" s="4"/>
    </row>
    <row r="50" spans="1:9" x14ac:dyDescent="0.3">
      <c r="A50" s="21"/>
      <c r="I50" s="4"/>
    </row>
    <row r="51" spans="1:9" x14ac:dyDescent="0.3">
      <c r="I51" s="4"/>
    </row>
    <row r="52" spans="1:9" x14ac:dyDescent="0.3">
      <c r="A52" s="18"/>
      <c r="I52" s="4"/>
    </row>
    <row r="53" spans="1:9" x14ac:dyDescent="0.3">
      <c r="I53" s="4"/>
    </row>
    <row r="54" spans="1:9" x14ac:dyDescent="0.3">
      <c r="I54" s="4"/>
    </row>
    <row r="55" spans="1:9" x14ac:dyDescent="0.3">
      <c r="I55" s="4"/>
    </row>
    <row r="56" spans="1:9" x14ac:dyDescent="0.3">
      <c r="I56" s="4"/>
    </row>
    <row r="57" spans="1:9" x14ac:dyDescent="0.3">
      <c r="I57" s="4"/>
    </row>
    <row r="58" spans="1:9" x14ac:dyDescent="0.3">
      <c r="I58" s="4"/>
    </row>
    <row r="59" spans="1:9" x14ac:dyDescent="0.3">
      <c r="I59" s="4"/>
    </row>
    <row r="60" spans="1:9" x14ac:dyDescent="0.3">
      <c r="I60" s="4"/>
    </row>
    <row r="61" spans="1:9" x14ac:dyDescent="0.3">
      <c r="I61" s="4"/>
    </row>
    <row r="62" spans="1:9" x14ac:dyDescent="0.3">
      <c r="I62" s="4"/>
    </row>
    <row r="63" spans="1:9" x14ac:dyDescent="0.3">
      <c r="I63" s="4"/>
    </row>
    <row r="64" spans="1:9" x14ac:dyDescent="0.3">
      <c r="I64" s="4"/>
    </row>
    <row r="65" spans="9:9" x14ac:dyDescent="0.3">
      <c r="I65" s="4"/>
    </row>
    <row r="66" spans="9:9" x14ac:dyDescent="0.3">
      <c r="I66" s="4"/>
    </row>
    <row r="67" spans="9:9" x14ac:dyDescent="0.3">
      <c r="I67" s="4"/>
    </row>
    <row r="68" spans="9:9" x14ac:dyDescent="0.3">
      <c r="I68" s="4"/>
    </row>
    <row r="69" spans="9:9" x14ac:dyDescent="0.3">
      <c r="I69" s="4"/>
    </row>
    <row r="70" spans="9:9" x14ac:dyDescent="0.3">
      <c r="I70" s="4"/>
    </row>
    <row r="71" spans="9:9" x14ac:dyDescent="0.3">
      <c r="I71" s="4"/>
    </row>
    <row r="72" spans="9:9" x14ac:dyDescent="0.3">
      <c r="I72" s="4"/>
    </row>
    <row r="73" spans="9:9" x14ac:dyDescent="0.3">
      <c r="I73" s="4"/>
    </row>
    <row r="74" spans="9:9" x14ac:dyDescent="0.3">
      <c r="I74" s="4"/>
    </row>
    <row r="75" spans="9:9" x14ac:dyDescent="0.3">
      <c r="I75" s="4"/>
    </row>
    <row r="76" spans="9:9" x14ac:dyDescent="0.3">
      <c r="I76" s="4"/>
    </row>
    <row r="77" spans="9:9" x14ac:dyDescent="0.3">
      <c r="I77" s="4"/>
    </row>
    <row r="78" spans="9:9" x14ac:dyDescent="0.3">
      <c r="I78" s="4"/>
    </row>
    <row r="79" spans="9:9" x14ac:dyDescent="0.3">
      <c r="I79" s="4"/>
    </row>
    <row r="80" spans="9:9" x14ac:dyDescent="0.3">
      <c r="I80" s="4"/>
    </row>
    <row r="81" spans="9:9" x14ac:dyDescent="0.3">
      <c r="I81" s="4"/>
    </row>
    <row r="82" spans="9:9" x14ac:dyDescent="0.3">
      <c r="I82" s="4"/>
    </row>
    <row r="83" spans="9:9" x14ac:dyDescent="0.3">
      <c r="I83" s="4"/>
    </row>
    <row r="84" spans="9:9" x14ac:dyDescent="0.3">
      <c r="I84" s="4"/>
    </row>
    <row r="85" spans="9:9" x14ac:dyDescent="0.3">
      <c r="I85" s="4"/>
    </row>
    <row r="86" spans="9:9" x14ac:dyDescent="0.3">
      <c r="I86" s="4"/>
    </row>
    <row r="87" spans="9:9" x14ac:dyDescent="0.3">
      <c r="I87" s="4"/>
    </row>
    <row r="88" spans="9:9" x14ac:dyDescent="0.3">
      <c r="I88" s="4"/>
    </row>
    <row r="89" spans="9:9" x14ac:dyDescent="0.3">
      <c r="I89" s="4"/>
    </row>
    <row r="90" spans="9:9" x14ac:dyDescent="0.3">
      <c r="I90" s="4"/>
    </row>
    <row r="91" spans="9:9" x14ac:dyDescent="0.3">
      <c r="I91" s="4"/>
    </row>
    <row r="92" spans="9:9" x14ac:dyDescent="0.3">
      <c r="I92" s="4"/>
    </row>
    <row r="93" spans="9:9" x14ac:dyDescent="0.3">
      <c r="I93" s="4"/>
    </row>
    <row r="94" spans="9:9" x14ac:dyDescent="0.3">
      <c r="I94" s="4"/>
    </row>
    <row r="95" spans="9:9" x14ac:dyDescent="0.3">
      <c r="I95" s="4"/>
    </row>
    <row r="96" spans="9:9" x14ac:dyDescent="0.3">
      <c r="I96" s="4"/>
    </row>
    <row r="97" spans="9:9" x14ac:dyDescent="0.3">
      <c r="I97" s="4"/>
    </row>
    <row r="98" spans="9:9" x14ac:dyDescent="0.3">
      <c r="I98" s="4"/>
    </row>
    <row r="99" spans="9:9" x14ac:dyDescent="0.3">
      <c r="I99" s="4"/>
    </row>
    <row r="100" spans="9:9" x14ac:dyDescent="0.3">
      <c r="I100" s="4"/>
    </row>
    <row r="101" spans="9:9" x14ac:dyDescent="0.3">
      <c r="I101" s="4"/>
    </row>
    <row r="102" spans="9:9" x14ac:dyDescent="0.3">
      <c r="I102" s="4"/>
    </row>
    <row r="103" spans="9:9" x14ac:dyDescent="0.3">
      <c r="I103" s="4"/>
    </row>
    <row r="104" spans="9:9" x14ac:dyDescent="0.3">
      <c r="I104" s="4"/>
    </row>
    <row r="105" spans="9:9" x14ac:dyDescent="0.3">
      <c r="I105" s="4"/>
    </row>
    <row r="106" spans="9:9" x14ac:dyDescent="0.3">
      <c r="I106" s="4"/>
    </row>
    <row r="107" spans="9:9" x14ac:dyDescent="0.3">
      <c r="I107" s="4"/>
    </row>
    <row r="108" spans="9:9" x14ac:dyDescent="0.3">
      <c r="I108" s="4"/>
    </row>
    <row r="109" spans="9:9" x14ac:dyDescent="0.3">
      <c r="I109" s="4"/>
    </row>
    <row r="110" spans="9:9" x14ac:dyDescent="0.3">
      <c r="I110" s="4"/>
    </row>
    <row r="111" spans="9:9" x14ac:dyDescent="0.3">
      <c r="I111" s="4"/>
    </row>
    <row r="112" spans="9:9" x14ac:dyDescent="0.3">
      <c r="I112" s="4"/>
    </row>
    <row r="113" spans="9:9" x14ac:dyDescent="0.3">
      <c r="I113" s="4"/>
    </row>
    <row r="114" spans="9:9" x14ac:dyDescent="0.3">
      <c r="I114" s="4"/>
    </row>
    <row r="115" spans="9:9" x14ac:dyDescent="0.3">
      <c r="I115" s="4"/>
    </row>
    <row r="116" spans="9:9" x14ac:dyDescent="0.3">
      <c r="I116" s="4"/>
    </row>
    <row r="117" spans="9:9" x14ac:dyDescent="0.3">
      <c r="I117" s="4"/>
    </row>
    <row r="118" spans="9:9" x14ac:dyDescent="0.3">
      <c r="I118" s="4"/>
    </row>
    <row r="119" spans="9:9" x14ac:dyDescent="0.3">
      <c r="I119" s="4"/>
    </row>
    <row r="120" spans="9:9" x14ac:dyDescent="0.3">
      <c r="I120" s="4"/>
    </row>
    <row r="121" spans="9:9" x14ac:dyDescent="0.3">
      <c r="I121" s="4"/>
    </row>
    <row r="122" spans="9:9" x14ac:dyDescent="0.3">
      <c r="I122" s="4"/>
    </row>
    <row r="123" spans="9:9" x14ac:dyDescent="0.3">
      <c r="I123" s="4"/>
    </row>
    <row r="124" spans="9:9" x14ac:dyDescent="0.3">
      <c r="I124" s="4"/>
    </row>
    <row r="125" spans="9:9" x14ac:dyDescent="0.3">
      <c r="I125" s="4"/>
    </row>
    <row r="126" spans="9:9" x14ac:dyDescent="0.3">
      <c r="I126" s="4"/>
    </row>
    <row r="127" spans="9:9" x14ac:dyDescent="0.3">
      <c r="I127" s="4"/>
    </row>
    <row r="128" spans="9:9" x14ac:dyDescent="0.3">
      <c r="I128" s="4"/>
    </row>
    <row r="129" spans="9:9" x14ac:dyDescent="0.3">
      <c r="I129" s="4"/>
    </row>
    <row r="130" spans="9:9" x14ac:dyDescent="0.3">
      <c r="I130" s="4"/>
    </row>
    <row r="131" spans="9:9" x14ac:dyDescent="0.3">
      <c r="I131" s="4"/>
    </row>
    <row r="132" spans="9:9" x14ac:dyDescent="0.3">
      <c r="I132" s="4"/>
    </row>
    <row r="133" spans="9:9" x14ac:dyDescent="0.3">
      <c r="I133" s="4"/>
    </row>
    <row r="134" spans="9:9" x14ac:dyDescent="0.3">
      <c r="I134" s="4"/>
    </row>
    <row r="135" spans="9:9" x14ac:dyDescent="0.3">
      <c r="I135" s="4"/>
    </row>
    <row r="136" spans="9:9" x14ac:dyDescent="0.3">
      <c r="I136" s="4"/>
    </row>
    <row r="137" spans="9:9" x14ac:dyDescent="0.3">
      <c r="I137" s="4"/>
    </row>
    <row r="138" spans="9:9" x14ac:dyDescent="0.3">
      <c r="I138" s="4"/>
    </row>
    <row r="139" spans="9:9" x14ac:dyDescent="0.3">
      <c r="I139" s="4"/>
    </row>
    <row r="140" spans="9:9" x14ac:dyDescent="0.3">
      <c r="I140" s="4"/>
    </row>
    <row r="141" spans="9:9" x14ac:dyDescent="0.3">
      <c r="I141" s="4"/>
    </row>
    <row r="142" spans="9:9" x14ac:dyDescent="0.3">
      <c r="I142" s="4"/>
    </row>
    <row r="143" spans="9:9" x14ac:dyDescent="0.3">
      <c r="I143" s="4"/>
    </row>
    <row r="144" spans="9:9" x14ac:dyDescent="0.3">
      <c r="I144" s="4"/>
    </row>
    <row r="145" spans="9:9" x14ac:dyDescent="0.3">
      <c r="I145" s="4"/>
    </row>
    <row r="146" spans="9:9" x14ac:dyDescent="0.3">
      <c r="I146" s="4"/>
    </row>
    <row r="147" spans="9:9" x14ac:dyDescent="0.3">
      <c r="I147" s="4"/>
    </row>
    <row r="148" spans="9:9" x14ac:dyDescent="0.3">
      <c r="I148" s="4"/>
    </row>
    <row r="149" spans="9:9" x14ac:dyDescent="0.3">
      <c r="I149" s="4"/>
    </row>
    <row r="150" spans="9:9" x14ac:dyDescent="0.3">
      <c r="I150" s="4"/>
    </row>
    <row r="151" spans="9:9" x14ac:dyDescent="0.3">
      <c r="I151" s="4"/>
    </row>
    <row r="152" spans="9:9" x14ac:dyDescent="0.3">
      <c r="I152" s="4"/>
    </row>
    <row r="153" spans="9:9" x14ac:dyDescent="0.3">
      <c r="I153" s="4"/>
    </row>
    <row r="154" spans="9:9" x14ac:dyDescent="0.3">
      <c r="I154" s="4"/>
    </row>
  </sheetData>
  <mergeCells count="1">
    <mergeCell ref="J3:L3"/>
  </mergeCells>
  <hyperlinks>
    <hyperlink ref="B28" r:id="rId1" xr:uid="{A78771D6-9BCA-4C7C-992F-C240AF856986}"/>
    <hyperlink ref="A28" r:id="rId2" xr:uid="{9D3B3857-0B38-498A-B348-1B9C65CDE4D3}"/>
    <hyperlink ref="B29" r:id="rId3" xr:uid="{93AFC272-358C-40E5-BEB1-DCA2886CF8BA}"/>
    <hyperlink ref="A29" r:id="rId4" xr:uid="{6F397900-D09F-428C-9C7C-5479DF347C4F}"/>
    <hyperlink ref="A30" r:id="rId5" xr:uid="{9D729B25-41A6-49E4-8B6C-C592609394E3}"/>
    <hyperlink ref="B30" r:id="rId6" xr:uid="{82635191-88C3-4994-AEE2-708DC29D9A43}"/>
  </hyperlinks>
  <pageMargins left="0.7" right="0.7" top="0.75" bottom="0.75" header="0.3" footer="0.3"/>
  <pageSetup paperSize="9" orientation="portrait" r:id="rId7"/>
  <drawing r:id="rId8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40F9A4-0EAE-4D6A-956A-ADD7D84821D6}">
          <x14:formula1>
            <xm:f>Sayfa2!$F$7:$F$10</xm:f>
          </x14:formula1>
          <xm:sqref>F6:F26 E27:E28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C4E52-1742-4DFB-A18C-35334553D47A}">
  <sheetPr codeName="Sayfa3"/>
  <dimension ref="F8:F10"/>
  <sheetViews>
    <sheetView workbookViewId="0">
      <selection activeCell="I12" sqref="I12"/>
    </sheetView>
  </sheetViews>
  <sheetFormatPr defaultRowHeight="14.4" x14ac:dyDescent="0.3"/>
  <sheetData>
    <row r="8" spans="6:6" x14ac:dyDescent="0.3">
      <c r="F8">
        <v>1</v>
      </c>
    </row>
    <row r="9" spans="6:6" x14ac:dyDescent="0.3">
      <c r="F9">
        <v>2</v>
      </c>
    </row>
    <row r="10" spans="6:6" x14ac:dyDescent="0.3">
      <c r="F10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652ED-59BE-4D82-9871-69DAC7B5E104}">
  <sheetPr codeName="Sayfa2"/>
  <dimension ref="F6:J23"/>
  <sheetViews>
    <sheetView workbookViewId="0">
      <selection activeCell="B14" sqref="B14"/>
    </sheetView>
  </sheetViews>
  <sheetFormatPr defaultRowHeight="14.4" x14ac:dyDescent="0.3"/>
  <cols>
    <col min="9" max="9" width="14.44140625" bestFit="1" customWidth="1"/>
    <col min="10" max="10" width="12.88671875" bestFit="1" customWidth="1"/>
  </cols>
  <sheetData>
    <row r="6" spans="6:10" x14ac:dyDescent="0.3">
      <c r="F6" t="s">
        <v>0</v>
      </c>
      <c r="G6" t="s">
        <v>1</v>
      </c>
    </row>
    <row r="7" spans="6:10" x14ac:dyDescent="0.3">
      <c r="F7" t="s">
        <v>27</v>
      </c>
      <c r="G7" s="1">
        <v>3</v>
      </c>
    </row>
    <row r="8" spans="6:10" x14ac:dyDescent="0.3">
      <c r="F8" t="s">
        <v>21</v>
      </c>
      <c r="G8" s="1">
        <v>2</v>
      </c>
    </row>
    <row r="9" spans="6:10" x14ac:dyDescent="0.3">
      <c r="F9" t="s">
        <v>22</v>
      </c>
      <c r="G9" s="1">
        <v>4.5</v>
      </c>
    </row>
    <row r="10" spans="6:10" x14ac:dyDescent="0.3">
      <c r="F10" t="s">
        <v>23</v>
      </c>
      <c r="G10" s="1">
        <v>5</v>
      </c>
    </row>
    <row r="13" spans="6:10" ht="17.399999999999999" x14ac:dyDescent="0.35">
      <c r="F13" s="2" t="s">
        <v>0</v>
      </c>
      <c r="G13" s="2" t="s">
        <v>10</v>
      </c>
      <c r="H13" s="2" t="s">
        <v>11</v>
      </c>
      <c r="I13" s="2" t="s">
        <v>12</v>
      </c>
      <c r="J13" s="2" t="s">
        <v>1</v>
      </c>
    </row>
    <row r="14" spans="6:10" ht="17.399999999999999" x14ac:dyDescent="0.35">
      <c r="F14" s="3" t="s">
        <v>27</v>
      </c>
      <c r="G14" s="5">
        <v>61</v>
      </c>
      <c r="H14" s="5">
        <v>160</v>
      </c>
      <c r="I14" s="5">
        <v>38</v>
      </c>
      <c r="J14" s="5">
        <v>3</v>
      </c>
    </row>
    <row r="15" spans="6:10" ht="17.399999999999999" x14ac:dyDescent="0.35">
      <c r="F15" s="3" t="s">
        <v>21</v>
      </c>
      <c r="G15" s="5">
        <v>20</v>
      </c>
      <c r="H15" s="5">
        <v>90</v>
      </c>
      <c r="I15" s="5">
        <v>22</v>
      </c>
      <c r="J15" s="5">
        <v>2</v>
      </c>
    </row>
    <row r="16" spans="6:10" ht="17.399999999999999" x14ac:dyDescent="0.35">
      <c r="F16" s="3" t="s">
        <v>22</v>
      </c>
      <c r="G16" s="5">
        <v>31</v>
      </c>
      <c r="H16" s="5">
        <v>50</v>
      </c>
      <c r="I16" s="5">
        <v>62</v>
      </c>
      <c r="J16" s="5">
        <v>4.5</v>
      </c>
    </row>
    <row r="17" spans="6:10" ht="17.399999999999999" x14ac:dyDescent="0.35">
      <c r="F17" s="3" t="s">
        <v>23</v>
      </c>
      <c r="G17" s="5">
        <v>23</v>
      </c>
      <c r="H17" s="5">
        <v>40</v>
      </c>
      <c r="I17" s="5">
        <v>56.999999999999993</v>
      </c>
      <c r="J17" s="5">
        <v>5</v>
      </c>
    </row>
    <row r="18" spans="6:10" x14ac:dyDescent="0.3">
      <c r="I18" s="1"/>
    </row>
    <row r="19" spans="6:10" x14ac:dyDescent="0.3">
      <c r="I19" s="1"/>
    </row>
    <row r="20" spans="6:10" ht="17.399999999999999" x14ac:dyDescent="0.35">
      <c r="F20" s="24" t="s">
        <v>15</v>
      </c>
      <c r="G20" s="24"/>
      <c r="I20" s="1"/>
    </row>
    <row r="21" spans="6:10" x14ac:dyDescent="0.3">
      <c r="I21" s="1"/>
    </row>
    <row r="22" spans="6:10" x14ac:dyDescent="0.3">
      <c r="I22" s="1"/>
    </row>
    <row r="23" spans="6:10" x14ac:dyDescent="0.3">
      <c r="I23" s="1"/>
    </row>
  </sheetData>
  <mergeCells count="1">
    <mergeCell ref="F20:G20"/>
  </mergeCells>
  <dataValidations count="1">
    <dataValidation type="list" allowBlank="1" showInputMessage="1" showErrorMessage="1" sqref="F14:F17" xr:uid="{D6B0ED35-45AC-42A8-8D4C-1DCCA20A0C91}">
      <formula1>$F$7:$F$10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Sayfa1</vt:lpstr>
      <vt:lpstr>Sayfa3</vt:lpstr>
      <vt:lpstr>Sayfa2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HARUN</dc:creator>
  <cp:lastModifiedBy>HARUN</cp:lastModifiedBy>
  <dcterms:created xsi:type="dcterms:W3CDTF">2019-10-04T09:09:39Z</dcterms:created>
  <dcterms:modified xsi:type="dcterms:W3CDTF">2021-01-09T16:22:57Z</dcterms:modified>
</cp:coreProperties>
</file>